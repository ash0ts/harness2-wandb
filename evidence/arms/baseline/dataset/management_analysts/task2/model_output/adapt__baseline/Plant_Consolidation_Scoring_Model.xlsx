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site_Score" sheetId="1" state="visible" r:id="rId1"/>
    <sheet xmlns:r="http://schemas.openxmlformats.org/officeDocument/2006/relationships" name="Consolidation_Scenarios" sheetId="2" state="visible" r:id="rId2"/>
    <sheet xmlns:r="http://schemas.openxmlformats.org/officeDocument/2006/relationships" name="Risk_Matrix" sheetId="3" state="visible" r:id="rId3"/>
    <sheet xmlns:r="http://schemas.openxmlformats.org/officeDocument/2006/relationships" name="Data_Reconcili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0.0000"/>
    <numFmt numFmtId="165" formatCode="0.0"/>
    <numFmt numFmtId="166" formatCode="$#,##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9"/>
    </font>
    <font>
      <b val="1"/>
      <color rgb="001F3864"/>
      <sz val="10"/>
    </font>
    <font>
      <b val="1"/>
      <color rgb="001F3864"/>
      <sz val="1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b val="1"/>
      <color rgb="009C0006"/>
      <sz val="10"/>
    </font>
    <font>
      <b val="1"/>
      <color rgb="00217346"/>
      <sz val="10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E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6" fillId="2" borderId="1" pivotButton="0" quotePrefix="0" xfId="0"/>
    <xf numFmtId="9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7" fillId="4" borderId="1" applyAlignment="1" pivotButton="0" quotePrefix="0" xfId="0">
      <alignment horizontal="center" vertical="center" wrapText="1"/>
    </xf>
    <xf numFmtId="0" fontId="6" fillId="4" borderId="1" pivotButton="0" quotePrefix="0" xfId="0"/>
    <xf numFmtId="3" fontId="7" fillId="4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center" vertical="center" wrapText="1"/>
    </xf>
    <xf numFmtId="165" fontId="8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6" fillId="5" borderId="1" pivotButton="0" quotePrefix="0" xfId="0"/>
    <xf numFmtId="3" fontId="6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top" wrapText="1"/>
    </xf>
    <xf numFmtId="166" fontId="7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6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9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0" fillId="5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3" customWidth="1" min="3" max="3"/>
    <col width="12" customWidth="1" min="4" max="4"/>
    <col width="14" customWidth="1" min="5" max="5"/>
    <col width="10" customWidth="1" min="6" max="6"/>
    <col width="12" customWidth="1" min="7" max="7"/>
    <col width="9" customWidth="1" min="8" max="8"/>
    <col width="9" customWidth="1" min="9" max="9"/>
    <col width="13" customWidth="1" min="10" max="10"/>
    <col width="10" customWidth="1" min="11" max="11"/>
    <col width="10" customWidth="1" min="12" max="12"/>
    <col width="13" customWidth="1" min="13" max="13"/>
    <col width="22" customWidth="1" min="14" max="14"/>
  </cols>
  <sheetData>
    <row r="1">
      <c r="A1" s="1" t="inlineStr">
        <is>
          <t>NOVATRANS LOGISTICS — PLANT CONSOLIDATION SCORING MODEL</t>
        </is>
      </c>
    </row>
    <row r="2">
      <c r="A2" s="2" t="inlineStr">
        <is>
          <t>Tab 1 of 4: Composite candidacy ranking of all 19 plants | Prepared for the Board directive on structurally unviable facilities | Basis: pinned source data (OrderList, WhCapacities, WhCosts, PlantPorts, FreightRates, Q4-2023 survey &amp; complaint log)</t>
        </is>
      </c>
    </row>
    <row r="4" ht="28" customHeight="1">
      <c r="A4" s="3" t="inlineStr">
        <is>
          <t>OPERATIONAL DEFINITION — "STRUCTURALLY UNVIABLE": a plant whose scale, unit handling economics, network position and service record, taken together, do not justify standalone operation; its role can be absorbed by peer plants without loss of port access.</t>
        </is>
      </c>
    </row>
    <row r="6">
      <c r="A6" s="4" t="inlineStr">
        <is>
          <t>WEIGHTED SCORING MODEL — WEIGHTS &amp; RATIONALE (0–100 scale per dimension; higher = stronger consolidation candidacy)</t>
        </is>
      </c>
    </row>
    <row r="7">
      <c r="A7" s="5" t="inlineStr">
        <is>
          <t>Dimension</t>
        </is>
      </c>
      <c r="B7" s="5" t="inlineStr">
        <is>
          <t>Weight</t>
        </is>
      </c>
      <c r="C7" s="5" t="inlineStr">
        <is>
          <t>Rationale for weighting</t>
        </is>
      </c>
      <c r="D7" s="5" t="inlineStr">
        <is>
          <t>Scoring formula (0–100)</t>
        </is>
      </c>
      <c r="E7" s="5" t="inlineStr">
        <is>
          <t>Source</t>
        </is>
      </c>
    </row>
    <row r="8" ht="46" customHeight="1">
      <c r="A8" s="6" t="inlineStr">
        <is>
          <t>D1 — Capacity scale &amp; fixed-cost absorption</t>
        </is>
      </c>
      <c r="B8" s="7" t="n">
        <v>0.25</v>
      </c>
      <c r="C8" s="8" t="inlineStr">
        <is>
          <t>Highest weight: a plant whose stated daily capacity is a trivial share of the network cannot absorb fixed operating costs. The COO memo (§2) itself flags the imbalance (PLANT01 1,070 vs PLANT15 11 units/day).</t>
        </is>
      </c>
      <c r="D8" s="8" t="inlineStr">
        <is>
          <t>100 × (1 − (ln(cap) − ln(min)) / (ln(max) − ln(min))) — log-scaled inverse capacity</t>
        </is>
      </c>
      <c r="E8" s="8" t="inlineStr">
        <is>
          <t>WhCapacities.csv</t>
        </is>
      </c>
    </row>
    <row r="9" ht="46" customHeight="1">
      <c r="A9" s="6" t="inlineStr">
        <is>
          <t>D2 — Unit handling cost competitiveness</t>
        </is>
      </c>
      <c r="B9" s="7" t="n">
        <v>0.2</v>
      </c>
      <c r="C9" s="8" t="inlineStr">
        <is>
          <t>Direct measure of economic inefficiency; plants whose cost per unit is uncompetitive vs network peers are natural consolidation targets.</t>
        </is>
      </c>
      <c r="D9" s="8" t="inlineStr">
        <is>
          <t>100 × (cost − min) / (max − min) across 19 plants</t>
        </is>
      </c>
      <c r="E9" s="8" t="inlineStr">
        <is>
          <t>WhCosts.csv</t>
        </is>
      </c>
    </row>
    <row r="10" ht="46" customHeight="1">
      <c r="A10" s="6" t="inlineStr">
        <is>
          <t>D3 — Network redundancy / volume absorbability</t>
        </is>
      </c>
      <c r="B10" s="7" t="n">
        <v>0.2</v>
      </c>
      <c r="C10" s="8" t="inlineStr">
        <is>
          <t>Closure feasibility depends on topology: volume can only be absorbed by peers sharing the same port(s). A plant surrounded by large same-port peers is redundant; a sole plant on its port anchors that port access.</t>
        </is>
      </c>
      <c r="D10" s="8" t="inlineStr">
        <is>
          <t>100 × peer capacity / (peer capacity + own capacity), peers = plants sharing ≥1 port</t>
        </is>
      </c>
      <c r="E10" s="8" t="inlineStr">
        <is>
          <t>PlantPorts.csv + WhCapacities.csv</t>
        </is>
      </c>
    </row>
    <row r="11" ht="46" customHeight="1">
      <c r="A11" s="6" t="inlineStr">
        <is>
          <t>D4 — Observed demand contribution</t>
        </is>
      </c>
      <c r="B11" s="7" t="n">
        <v>0.15</v>
      </c>
      <c r="C11" s="8" t="inlineStr">
        <is>
          <t>Moderate weight: plants with negligible share of the 9,215-order book have weak ongoing justification. Down-weighted because 12 of 19 plants have no shipment records (coverage gap — see Data_Reconciliation).</t>
        </is>
      </c>
      <c r="D11" s="8" t="inlineStr">
        <is>
          <t>100 × (1 − plant units / total observed units)</t>
        </is>
      </c>
      <c r="E11" s="8" t="inlineStr">
        <is>
          <t>OrderList.csv</t>
        </is>
      </c>
    </row>
    <row r="12" ht="46" customHeight="1">
      <c r="A12" s="6" t="inlineStr">
        <is>
          <t>D5 — Service performance &amp; customer risk</t>
        </is>
      </c>
      <c r="B12" s="7" t="n">
        <v>0.2</v>
      </c>
      <c r="C12" s="8" t="inlineStr">
        <is>
          <t>Chronic service failure (late shipments, complaints, detractors) is a structural symptom; migrating volume to stronger peers fixes it. Plants with no observed service data are scored neutral (50) and flagged.</t>
        </is>
      </c>
      <c r="D12" s="8" t="inlineStr">
        <is>
          <t>40% late-rate percentile + 30% severity-weighted complaint load + 30% detractor share; neutral 50 if no data</t>
        </is>
      </c>
      <c r="E12" s="8" t="inlineStr">
        <is>
          <t>OrderList.csv, Complaint_Log, Survey_Results</t>
        </is>
      </c>
    </row>
    <row r="13">
      <c r="A13" s="9" t="inlineStr">
        <is>
          <t>TOTAL</t>
        </is>
      </c>
      <c r="B13" s="10">
        <f>SUM(B8:B12)</f>
        <v/>
      </c>
      <c r="C13" s="11" t="inlineStr">
        <is>
          <t>Composite = Σ weight × dimension score. Tier bands: ≥65 Tier 1 (closure track) | 55–65 Tier 2 (consolidation track) | 45–55 Tier 3 (watchlist) | &lt;45 Retain.</t>
        </is>
      </c>
      <c r="D13" s="12" t="n"/>
      <c r="E13" s="13" t="n"/>
    </row>
    <row r="15">
      <c r="A15" s="5" t="inlineStr">
        <is>
          <t>Rank</t>
        </is>
      </c>
      <c r="B15" s="5" t="inlineStr">
        <is>
          <t>Plant</t>
        </is>
      </c>
      <c r="C15" s="5" t="inlineStr">
        <is>
          <t>Stated daily capacity (units)</t>
        </is>
      </c>
      <c r="D15" s="5" t="inlineStr">
        <is>
          <t>Handling cost $/unit</t>
        </is>
      </c>
      <c r="E15" s="5" t="inlineStr">
        <is>
          <t>Port(s)</t>
        </is>
      </c>
      <c r="F15" s="5" t="inlineStr">
        <is>
          <t>Same-port peer plants</t>
        </is>
      </c>
      <c r="G15" s="5" t="inlineStr">
        <is>
          <t>Observed orders (order book)</t>
        </is>
      </c>
      <c r="H15" s="5" t="inlineStr">
        <is>
          <t>D1 Scale</t>
        </is>
      </c>
      <c r="I15" s="5" t="inlineStr">
        <is>
          <t>D2 Cost</t>
        </is>
      </c>
      <c r="J15" s="5" t="inlineStr">
        <is>
          <t>D3 Absorbability</t>
        </is>
      </c>
      <c r="K15" s="5" t="inlineStr">
        <is>
          <t>D4 Demand</t>
        </is>
      </c>
      <c r="L15" s="5" t="inlineStr">
        <is>
          <t>D5 Service</t>
        </is>
      </c>
      <c r="M15" s="5" t="inlineStr">
        <is>
          <t>COMPOSITE SCORE</t>
        </is>
      </c>
      <c r="N15" s="5" t="inlineStr">
        <is>
          <t>Priority band</t>
        </is>
      </c>
    </row>
    <row r="16">
      <c r="A16" s="14" t="n">
        <v>1</v>
      </c>
      <c r="B16" s="15" t="inlineStr">
        <is>
          <t>PLANT19</t>
        </is>
      </c>
      <c r="C16" s="16" t="n">
        <v>7</v>
      </c>
      <c r="D16" s="17" t="n">
        <v>0.6398</v>
      </c>
      <c r="E16" s="14" t="inlineStr">
        <is>
          <t>PORT04</t>
        </is>
      </c>
      <c r="F16" s="14" t="n">
        <v>6</v>
      </c>
      <c r="G16" s="16" t="n">
        <v>0</v>
      </c>
      <c r="H16" s="18" t="n">
        <v>100</v>
      </c>
      <c r="I16" s="18" t="n">
        <v>16.1</v>
      </c>
      <c r="J16" s="18" t="n">
        <v>99.7</v>
      </c>
      <c r="K16" s="18" t="n">
        <v>100</v>
      </c>
      <c r="L16" s="18" t="n">
        <v>50</v>
      </c>
      <c r="M16" s="19">
        <f>ROUND($B$8*H16+$B$9*I16+$B$10*J16+$B$11*K16+$B$12*L16,1)</f>
        <v/>
      </c>
      <c r="N16" s="14">
        <f>IF(M16&gt;=65,"Tier 1 — closure track",IF(M16&gt;=55,"Tier 2 — consolidation track",IF(M16&gt;=45,"Tier 3 — watchlist","Retain")))</f>
        <v/>
      </c>
    </row>
    <row r="17">
      <c r="A17" s="14" t="n">
        <v>2</v>
      </c>
      <c r="B17" s="15" t="inlineStr">
        <is>
          <t>PLANT08</t>
        </is>
      </c>
      <c r="C17" s="16" t="n">
        <v>14</v>
      </c>
      <c r="D17" s="17" t="n">
        <v>0.5229</v>
      </c>
      <c r="E17" s="14" t="inlineStr">
        <is>
          <t>PORT04</t>
        </is>
      </c>
      <c r="F17" s="14" t="n">
        <v>6</v>
      </c>
      <c r="G17" s="16" t="n">
        <v>102</v>
      </c>
      <c r="H17" s="18" t="n">
        <v>86.2</v>
      </c>
      <c r="I17" s="18" t="n">
        <v>9.1</v>
      </c>
      <c r="J17" s="18" t="n">
        <v>99.3</v>
      </c>
      <c r="K17" s="18" t="n">
        <v>99.09999999999999</v>
      </c>
      <c r="L17" s="18" t="n">
        <v>60.3</v>
      </c>
      <c r="M17" s="19">
        <f>ROUND($B$8*H17+$B$9*I17+$B$10*J17+$B$11*K17+$B$12*L17,1)</f>
        <v/>
      </c>
      <c r="N17" s="14">
        <f>IF(M17&gt;=65,"Tier 1 — closure track",IF(M17&gt;=55,"Tier 2 — consolidation track",IF(M17&gt;=45,"Tier 3 — watchlist","Retain")))</f>
        <v/>
      </c>
    </row>
    <row r="18">
      <c r="A18" s="14" t="n">
        <v>3</v>
      </c>
      <c r="B18" s="15" t="inlineStr">
        <is>
          <t>PLANT09</t>
        </is>
      </c>
      <c r="C18" s="16" t="n">
        <v>11</v>
      </c>
      <c r="D18" s="17" t="n">
        <v>0.4651</v>
      </c>
      <c r="E18" s="14" t="inlineStr">
        <is>
          <t>PORT04</t>
        </is>
      </c>
      <c r="F18" s="14" t="n">
        <v>6</v>
      </c>
      <c r="G18" s="16" t="n">
        <v>12</v>
      </c>
      <c r="H18" s="18" t="n">
        <v>91</v>
      </c>
      <c r="I18" s="18" t="n">
        <v>5.6</v>
      </c>
      <c r="J18" s="18" t="n">
        <v>99.5</v>
      </c>
      <c r="K18" s="18" t="n">
        <v>99.2</v>
      </c>
      <c r="L18" s="18" t="n">
        <v>21.2</v>
      </c>
      <c r="M18" s="19">
        <f>ROUND($B$8*H18+$B$9*I18+$B$10*J18+$B$11*K18+$B$12*L18,1)</f>
        <v/>
      </c>
      <c r="N18" s="14">
        <f>IF(M18&gt;=65,"Tier 1 — closure track",IF(M18&gt;=55,"Tier 2 — consolidation track",IF(M18&gt;=45,"Tier 3 — watchlist","Retain")))</f>
        <v/>
      </c>
    </row>
    <row r="19">
      <c r="A19" s="14" t="n">
        <v>4</v>
      </c>
      <c r="B19" s="15" t="inlineStr">
        <is>
          <t>PLANT15</t>
        </is>
      </c>
      <c r="C19" s="16" t="n">
        <v>11</v>
      </c>
      <c r="D19" s="17" t="n">
        <v>1.4151</v>
      </c>
      <c r="E19" s="14" t="inlineStr">
        <is>
          <t>PORT08</t>
        </is>
      </c>
      <c r="F19" s="14" t="n">
        <v>0</v>
      </c>
      <c r="G19" s="16" t="n">
        <v>0</v>
      </c>
      <c r="H19" s="18" t="n">
        <v>91</v>
      </c>
      <c r="I19" s="18" t="n">
        <v>62.7</v>
      </c>
      <c r="J19" s="18" t="n">
        <v>0</v>
      </c>
      <c r="K19" s="18" t="n">
        <v>100</v>
      </c>
      <c r="L19" s="18" t="n">
        <v>50</v>
      </c>
      <c r="M19" s="19">
        <f>ROUND($B$8*H19+$B$9*I19+$B$10*J19+$B$11*K19+$B$12*L19,1)</f>
        <v/>
      </c>
      <c r="N19" s="14">
        <f>IF(M19&gt;=65,"Tier 1 — closure track",IF(M19&gt;=55,"Tier 2 — consolidation track",IF(M19&gt;=45,"Tier 3 — watchlist","Retain")))</f>
        <v/>
      </c>
    </row>
    <row r="20">
      <c r="A20" s="14" t="n">
        <v>5</v>
      </c>
      <c r="B20" s="15" t="inlineStr">
        <is>
          <t>PLANT06</t>
        </is>
      </c>
      <c r="C20" s="16" t="n">
        <v>49</v>
      </c>
      <c r="D20" s="17" t="n">
        <v>0.5541</v>
      </c>
      <c r="E20" s="14" t="inlineStr">
        <is>
          <t>PORT06</t>
        </is>
      </c>
      <c r="F20" s="14" t="n">
        <v>1</v>
      </c>
      <c r="G20" s="16" t="n">
        <v>0</v>
      </c>
      <c r="H20" s="18" t="n">
        <v>61.3</v>
      </c>
      <c r="I20" s="18" t="n">
        <v>11</v>
      </c>
      <c r="J20" s="18" t="n">
        <v>88.7</v>
      </c>
      <c r="K20" s="18" t="n">
        <v>100</v>
      </c>
      <c r="L20" s="18" t="n">
        <v>50</v>
      </c>
      <c r="M20" s="19">
        <f>ROUND($B$8*H20+$B$9*I20+$B$10*J20+$B$11*K20+$B$12*L20,1)</f>
        <v/>
      </c>
      <c r="N20" s="14">
        <f>IF(M20&gt;=65,"Tier 1 — closure track",IF(M20&gt;=55,"Tier 2 — consolidation track",IF(M20&gt;=45,"Tier 3 — watchlist","Retain")))</f>
        <v/>
      </c>
    </row>
    <row r="21">
      <c r="A21" s="20" t="n">
        <v>6</v>
      </c>
      <c r="B21" s="21" t="inlineStr">
        <is>
          <t>PLANT18</t>
        </is>
      </c>
      <c r="C21" s="22" t="n">
        <v>111</v>
      </c>
      <c r="D21" s="23" t="n">
        <v>2.0363</v>
      </c>
      <c r="E21" s="20" t="inlineStr">
        <is>
          <t>PORT11</t>
        </is>
      </c>
      <c r="F21" s="20" t="n">
        <v>0</v>
      </c>
      <c r="G21" s="22" t="n">
        <v>0</v>
      </c>
      <c r="H21" s="24" t="n">
        <v>45.1</v>
      </c>
      <c r="I21" s="24" t="n">
        <v>100</v>
      </c>
      <c r="J21" s="24" t="n">
        <v>0</v>
      </c>
      <c r="K21" s="24" t="n">
        <v>100</v>
      </c>
      <c r="L21" s="24" t="n">
        <v>50</v>
      </c>
      <c r="M21" s="25">
        <f>ROUND($B$8*H21+$B$9*I21+$B$10*J21+$B$11*K21+$B$12*L21,1)</f>
        <v/>
      </c>
      <c r="N21" s="20">
        <f>IF(M21&gt;=65,"Tier 1 — closure track",IF(M21&gt;=55,"Tier 2 — consolidation track",IF(M21&gt;=45,"Tier 3 — watchlist","Retain")))</f>
        <v/>
      </c>
    </row>
    <row r="22">
      <c r="A22" s="20" t="n">
        <v>7</v>
      </c>
      <c r="B22" s="21" t="inlineStr">
        <is>
          <t>PLANT10</t>
        </is>
      </c>
      <c r="C22" s="22" t="n">
        <v>118</v>
      </c>
      <c r="D22" s="23" t="n">
        <v>0.4936</v>
      </c>
      <c r="E22" s="20" t="inlineStr">
        <is>
          <t>PORT01; PORT02</t>
        </is>
      </c>
      <c r="F22" s="20" t="n">
        <v>2</v>
      </c>
      <c r="G22" s="22" t="n">
        <v>0</v>
      </c>
      <c r="H22" s="24" t="n">
        <v>43.8</v>
      </c>
      <c r="I22" s="24" t="n">
        <v>7.3</v>
      </c>
      <c r="J22" s="24" t="n">
        <v>91.90000000000001</v>
      </c>
      <c r="K22" s="24" t="n">
        <v>100</v>
      </c>
      <c r="L22" s="24" t="n">
        <v>50</v>
      </c>
      <c r="M22" s="25">
        <f>ROUND($B$8*H22+$B$9*I22+$B$10*J22+$B$11*K22+$B$12*L22,1)</f>
        <v/>
      </c>
      <c r="N22" s="20">
        <f>IF(M22&gt;=65,"Tier 1 — closure track",IF(M22&gt;=55,"Tier 2 — consolidation track",IF(M22&gt;=45,"Tier 3 — watchlist","Retain")))</f>
        <v/>
      </c>
    </row>
    <row r="23">
      <c r="A23" s="20" t="n">
        <v>8</v>
      </c>
      <c r="B23" s="21" t="inlineStr">
        <is>
          <t>PLANT17</t>
        </is>
      </c>
      <c r="C23" s="22" t="n">
        <v>8</v>
      </c>
      <c r="D23" s="23" t="n">
        <v>0.4289</v>
      </c>
      <c r="E23" s="20" t="inlineStr">
        <is>
          <t>PORT10</t>
        </is>
      </c>
      <c r="F23" s="20" t="n">
        <v>0</v>
      </c>
      <c r="G23" s="22" t="n">
        <v>0</v>
      </c>
      <c r="H23" s="24" t="n">
        <v>97.3</v>
      </c>
      <c r="I23" s="24" t="n">
        <v>3.5</v>
      </c>
      <c r="J23" s="24" t="n">
        <v>0</v>
      </c>
      <c r="K23" s="24" t="n">
        <v>100</v>
      </c>
      <c r="L23" s="24" t="n">
        <v>50</v>
      </c>
      <c r="M23" s="25">
        <f>ROUND($B$8*H23+$B$9*I23+$B$10*J23+$B$11*K23+$B$12*L23,1)</f>
        <v/>
      </c>
      <c r="N23" s="20">
        <f>IF(M23&gt;=65,"Tier 1 — closure track",IF(M23&gt;=55,"Tier 2 — consolidation track",IF(M23&gt;=45,"Tier 3 — watchlist","Retain")))</f>
        <v/>
      </c>
    </row>
    <row r="24">
      <c r="A24" s="20" t="n">
        <v>9</v>
      </c>
      <c r="B24" s="21" t="inlineStr">
        <is>
          <t>PLANT11</t>
        </is>
      </c>
      <c r="C24" s="22" t="n">
        <v>332</v>
      </c>
      <c r="D24" s="23" t="n">
        <v>0.5552</v>
      </c>
      <c r="E24" s="20" t="inlineStr">
        <is>
          <t>PORT04</t>
        </is>
      </c>
      <c r="F24" s="20" t="n">
        <v>6</v>
      </c>
      <c r="G24" s="22" t="n">
        <v>0</v>
      </c>
      <c r="H24" s="24" t="n">
        <v>23.3</v>
      </c>
      <c r="I24" s="24" t="n">
        <v>11</v>
      </c>
      <c r="J24" s="24" t="n">
        <v>84</v>
      </c>
      <c r="K24" s="24" t="n">
        <v>100</v>
      </c>
      <c r="L24" s="24" t="n">
        <v>50</v>
      </c>
      <c r="M24" s="25">
        <f>ROUND($B$8*H24+$B$9*I24+$B$10*J24+$B$11*K24+$B$12*L24,1)</f>
        <v/>
      </c>
      <c r="N24" s="20">
        <f>IF(M24&gt;=65,"Tier 1 — closure track",IF(M24&gt;=55,"Tier 2 — consolidation track",IF(M24&gt;=45,"Tier 3 — watchlist","Retain")))</f>
        <v/>
      </c>
    </row>
    <row r="25">
      <c r="A25" s="20" t="n">
        <v>10</v>
      </c>
      <c r="B25" s="21" t="inlineStr">
        <is>
          <t>PLANT07</t>
        </is>
      </c>
      <c r="C25" s="22" t="n">
        <v>265</v>
      </c>
      <c r="D25" s="23" t="n">
        <v>0.3714</v>
      </c>
      <c r="E25" s="20" t="inlineStr">
        <is>
          <t>PORT01; PORT02</t>
        </is>
      </c>
      <c r="F25" s="20" t="n">
        <v>2</v>
      </c>
      <c r="G25" s="22" t="n">
        <v>0</v>
      </c>
      <c r="H25" s="24" t="n">
        <v>27.7</v>
      </c>
      <c r="I25" s="24" t="n">
        <v>0</v>
      </c>
      <c r="J25" s="24" t="n">
        <v>81.8</v>
      </c>
      <c r="K25" s="24" t="n">
        <v>100</v>
      </c>
      <c r="L25" s="24" t="n">
        <v>50</v>
      </c>
      <c r="M25" s="25">
        <f>ROUND($B$8*H25+$B$9*I25+$B$10*J25+$B$11*K25+$B$12*L25,1)</f>
        <v/>
      </c>
      <c r="N25" s="20">
        <f>IF(M25&gt;=65,"Tier 1 — closure track",IF(M25&gt;=55,"Tier 2 — consolidation track",IF(M25&gt;=45,"Tier 3 — watchlist","Retain")))</f>
        <v/>
      </c>
    </row>
    <row r="26">
      <c r="A26" s="20" t="n">
        <v>11</v>
      </c>
      <c r="B26" s="21" t="inlineStr">
        <is>
          <t>PLANT12</t>
        </is>
      </c>
      <c r="C26" s="22" t="n">
        <v>209</v>
      </c>
      <c r="D26" s="23" t="n">
        <v>0.7731</v>
      </c>
      <c r="E26" s="20" t="inlineStr">
        <is>
          <t>PORT04</t>
        </is>
      </c>
      <c r="F26" s="20" t="n">
        <v>6</v>
      </c>
      <c r="G26" s="22" t="n">
        <v>300</v>
      </c>
      <c r="H26" s="24" t="n">
        <v>32.5</v>
      </c>
      <c r="I26" s="24" t="n">
        <v>24.1</v>
      </c>
      <c r="J26" s="24" t="n">
        <v>89.90000000000001</v>
      </c>
      <c r="K26" s="24" t="n">
        <v>99.59999999999999</v>
      </c>
      <c r="L26" s="24" t="n">
        <v>3.5</v>
      </c>
      <c r="M26" s="25">
        <f>ROUND($B$8*H26+$B$9*I26+$B$10*J26+$B$11*K26+$B$12*L26,1)</f>
        <v/>
      </c>
      <c r="N26" s="20">
        <f>IF(M26&gt;=65,"Tier 1 — closure track",IF(M26&gt;=55,"Tier 2 — consolidation track",IF(M26&gt;=45,"Tier 3 — watchlist","Retain")))</f>
        <v/>
      </c>
    </row>
    <row r="27">
      <c r="A27" s="20" t="n">
        <v>12</v>
      </c>
      <c r="B27" s="21" t="inlineStr">
        <is>
          <t>PLANT16</t>
        </is>
      </c>
      <c r="C27" s="22" t="n">
        <v>457</v>
      </c>
      <c r="D27" s="23" t="n">
        <v>1.9198</v>
      </c>
      <c r="E27" s="20" t="inlineStr">
        <is>
          <t>PORT09</t>
        </is>
      </c>
      <c r="F27" s="20" t="n">
        <v>0</v>
      </c>
      <c r="G27" s="22" t="n">
        <v>173</v>
      </c>
      <c r="H27" s="24" t="n">
        <v>16.9</v>
      </c>
      <c r="I27" s="24" t="n">
        <v>93</v>
      </c>
      <c r="J27" s="24" t="n">
        <v>0</v>
      </c>
      <c r="K27" s="24" t="n">
        <v>99.2</v>
      </c>
      <c r="L27" s="24" t="n">
        <v>3.5</v>
      </c>
      <c r="M27" s="25">
        <f>ROUND($B$8*H27+$B$9*I27+$B$10*J27+$B$11*K27+$B$12*L27,1)</f>
        <v/>
      </c>
      <c r="N27" s="20">
        <f>IF(M27&gt;=65,"Tier 1 — closure track",IF(M27&gt;=55,"Tier 2 — consolidation track",IF(M27&gt;=45,"Tier 3 — watchlist","Retain")))</f>
        <v/>
      </c>
    </row>
    <row r="28">
      <c r="A28" s="20" t="n">
        <v>13</v>
      </c>
      <c r="B28" s="21" t="inlineStr">
        <is>
          <t>PLANT02</t>
        </is>
      </c>
      <c r="C28" s="22" t="n">
        <v>138</v>
      </c>
      <c r="D28" s="23" t="n">
        <v>0.4775</v>
      </c>
      <c r="E28" s="20" t="inlineStr">
        <is>
          <t>PORT03</t>
        </is>
      </c>
      <c r="F28" s="20" t="n">
        <v>0</v>
      </c>
      <c r="G28" s="22" t="n">
        <v>0</v>
      </c>
      <c r="H28" s="24" t="n">
        <v>40.7</v>
      </c>
      <c r="I28" s="24" t="n">
        <v>6.4</v>
      </c>
      <c r="J28" s="24" t="n">
        <v>0</v>
      </c>
      <c r="K28" s="24" t="n">
        <v>100</v>
      </c>
      <c r="L28" s="24" t="n">
        <v>50</v>
      </c>
      <c r="M28" s="25">
        <f>ROUND($B$8*H28+$B$9*I28+$B$10*J28+$B$11*K28+$B$12*L28,1)</f>
        <v/>
      </c>
      <c r="N28" s="20">
        <f>IF(M28&gt;=65,"Tier 1 — closure track",IF(M28&gt;=55,"Tier 2 — consolidation track",IF(M28&gt;=45,"Tier 3 — watchlist","Retain")))</f>
        <v/>
      </c>
    </row>
    <row r="29">
      <c r="A29" s="20" t="n">
        <v>14</v>
      </c>
      <c r="B29" s="21" t="inlineStr">
        <is>
          <t>PLANT13</t>
        </is>
      </c>
      <c r="C29" s="22" t="n">
        <v>490</v>
      </c>
      <c r="D29" s="23" t="n">
        <v>0.4697</v>
      </c>
      <c r="E29" s="20" t="inlineStr">
        <is>
          <t>PORT04</t>
        </is>
      </c>
      <c r="F29" s="20" t="n">
        <v>6</v>
      </c>
      <c r="G29" s="22" t="n">
        <v>86</v>
      </c>
      <c r="H29" s="24" t="n">
        <v>15.5</v>
      </c>
      <c r="I29" s="24" t="n">
        <v>5.9</v>
      </c>
      <c r="J29" s="24" t="n">
        <v>76.40000000000001</v>
      </c>
      <c r="K29" s="24" t="n">
        <v>99.90000000000001</v>
      </c>
      <c r="L29" s="24" t="n">
        <v>2.6</v>
      </c>
      <c r="M29" s="25">
        <f>ROUND($B$8*H29+$B$9*I29+$B$10*J29+$B$11*K29+$B$12*L29,1)</f>
        <v/>
      </c>
      <c r="N29" s="20">
        <f>IF(M29&gt;=65,"Tier 1 — closure track",IF(M29&gt;=55,"Tier 2 — consolidation track",IF(M29&gt;=45,"Tier 3 — watchlist","Retain")))</f>
        <v/>
      </c>
    </row>
    <row r="30">
      <c r="A30" s="20" t="n">
        <v>15</v>
      </c>
      <c r="B30" s="21" t="inlineStr">
        <is>
          <t>PLANT05</t>
        </is>
      </c>
      <c r="C30" s="22" t="n">
        <v>385</v>
      </c>
      <c r="D30" s="23" t="n">
        <v>0.4881</v>
      </c>
      <c r="E30" s="20" t="inlineStr">
        <is>
          <t>PORT06</t>
        </is>
      </c>
      <c r="F30" s="20" t="n">
        <v>1</v>
      </c>
      <c r="G30" s="22" t="n">
        <v>0</v>
      </c>
      <c r="H30" s="24" t="n">
        <v>20.3</v>
      </c>
      <c r="I30" s="24" t="n">
        <v>7</v>
      </c>
      <c r="J30" s="24" t="n">
        <v>11.3</v>
      </c>
      <c r="K30" s="24" t="n">
        <v>100</v>
      </c>
      <c r="L30" s="24" t="n">
        <v>50</v>
      </c>
      <c r="M30" s="25">
        <f>ROUND($B$8*H30+$B$9*I30+$B$10*J30+$B$11*K30+$B$12*L30,1)</f>
        <v/>
      </c>
      <c r="N30" s="20">
        <f>IF(M30&gt;=65,"Tier 1 — closure track",IF(M30&gt;=55,"Tier 2 — consolidation track",IF(M30&gt;=45,"Tier 3 — watchlist","Retain")))</f>
        <v/>
      </c>
    </row>
    <row r="31">
      <c r="A31" s="20" t="n">
        <v>16</v>
      </c>
      <c r="B31" s="21" t="inlineStr">
        <is>
          <t>PLANT01</t>
        </is>
      </c>
      <c r="C31" s="22" t="n">
        <v>1070</v>
      </c>
      <c r="D31" s="23" t="n">
        <v>0.5669999999999999</v>
      </c>
      <c r="E31" s="20" t="inlineStr">
        <is>
          <t>PORT01; PORT02</t>
        </is>
      </c>
      <c r="F31" s="20" t="n">
        <v>2</v>
      </c>
      <c r="G31" s="22" t="n">
        <v>0</v>
      </c>
      <c r="H31" s="24" t="n">
        <v>0</v>
      </c>
      <c r="I31" s="24" t="n">
        <v>11.7</v>
      </c>
      <c r="J31" s="24" t="n">
        <v>26.4</v>
      </c>
      <c r="K31" s="24" t="n">
        <v>100</v>
      </c>
      <c r="L31" s="24" t="n">
        <v>50</v>
      </c>
      <c r="M31" s="25">
        <f>ROUND($B$8*H31+$B$9*I31+$B$10*J31+$B$11*K31+$B$12*L31,1)</f>
        <v/>
      </c>
      <c r="N31" s="20">
        <f>IF(M31&gt;=65,"Tier 1 — closure track",IF(M31&gt;=55,"Tier 2 — consolidation track",IF(M31&gt;=45,"Tier 3 — watchlist","Retain")))</f>
        <v/>
      </c>
    </row>
    <row r="32">
      <c r="A32" s="20" t="n">
        <v>17</v>
      </c>
      <c r="B32" s="21" t="inlineStr">
        <is>
          <t>PLANT14</t>
        </is>
      </c>
      <c r="C32" s="22" t="n">
        <v>549</v>
      </c>
      <c r="D32" s="23" t="n">
        <v>0.6343</v>
      </c>
      <c r="E32" s="20" t="inlineStr">
        <is>
          <t>PORT07</t>
        </is>
      </c>
      <c r="F32" s="20" t="n">
        <v>0</v>
      </c>
      <c r="G32" s="22" t="n">
        <v>0</v>
      </c>
      <c r="H32" s="24" t="n">
        <v>13.3</v>
      </c>
      <c r="I32" s="24" t="n">
        <v>15.8</v>
      </c>
      <c r="J32" s="24" t="n">
        <v>0</v>
      </c>
      <c r="K32" s="24" t="n">
        <v>100</v>
      </c>
      <c r="L32" s="24" t="n">
        <v>50</v>
      </c>
      <c r="M32" s="25">
        <f>ROUND($B$8*H32+$B$9*I32+$B$10*J32+$B$11*K32+$B$12*L32,1)</f>
        <v/>
      </c>
      <c r="N32" s="20">
        <f>IF(M32&gt;=65,"Tier 1 — closure track",IF(M32&gt;=55,"Tier 2 — consolidation track",IF(M32&gt;=45,"Tier 3 — watchlist","Retain")))</f>
        <v/>
      </c>
    </row>
    <row r="33">
      <c r="A33" s="20" t="n">
        <v>18</v>
      </c>
      <c r="B33" s="21" t="inlineStr">
        <is>
          <t>PLANT04</t>
        </is>
      </c>
      <c r="C33" s="22" t="n">
        <v>554</v>
      </c>
      <c r="D33" s="23" t="n">
        <v>0.4285</v>
      </c>
      <c r="E33" s="20" t="inlineStr">
        <is>
          <t>PORT05</t>
        </is>
      </c>
      <c r="F33" s="20" t="n">
        <v>0</v>
      </c>
      <c r="G33" s="22" t="n">
        <v>1</v>
      </c>
      <c r="H33" s="24" t="n">
        <v>13.1</v>
      </c>
      <c r="I33" s="24" t="n">
        <v>3.4</v>
      </c>
      <c r="J33" s="24" t="n">
        <v>0</v>
      </c>
      <c r="K33" s="24" t="n">
        <v>100</v>
      </c>
      <c r="L33" s="24" t="n">
        <v>0.9</v>
      </c>
      <c r="M33" s="25">
        <f>ROUND($B$8*H33+$B$9*I33+$B$10*J33+$B$11*K33+$B$12*L33,1)</f>
        <v/>
      </c>
      <c r="N33" s="20">
        <f>IF(M33&gt;=65,"Tier 1 — closure track",IF(M33&gt;=55,"Tier 2 — consolidation track",IF(M33&gt;=45,"Tier 3 — watchlist","Retain")))</f>
        <v/>
      </c>
    </row>
    <row r="34">
      <c r="A34" s="20" t="n">
        <v>19</v>
      </c>
      <c r="B34" s="21" t="inlineStr">
        <is>
          <t>PLANT03</t>
        </is>
      </c>
      <c r="C34" s="22" t="n">
        <v>1013</v>
      </c>
      <c r="D34" s="23" t="n">
        <v>0.5175</v>
      </c>
      <c r="E34" s="20" t="inlineStr">
        <is>
          <t>PORT04</t>
        </is>
      </c>
      <c r="F34" s="20" t="n">
        <v>6</v>
      </c>
      <c r="G34" s="22" t="n">
        <v>8541</v>
      </c>
      <c r="H34" s="24" t="n">
        <v>1.1</v>
      </c>
      <c r="I34" s="24" t="n">
        <v>8.800000000000001</v>
      </c>
      <c r="J34" s="24" t="n">
        <v>51.2</v>
      </c>
      <c r="K34" s="24" t="n">
        <v>3.1</v>
      </c>
      <c r="L34" s="24" t="n">
        <v>15.1</v>
      </c>
      <c r="M34" s="25">
        <f>ROUND($B$8*H34+$B$9*I34+$B$10*J34+$B$11*K34+$B$12*L34,1)</f>
        <v/>
      </c>
      <c r="N34" s="20">
        <f>IF(M34&gt;=65,"Tier 1 — closure track",IF(M34&gt;=55,"Tier 2 — consolidation track",IF(M34&gt;=45,"Tier 3 — watchlist","Retain")))</f>
        <v/>
      </c>
    </row>
    <row r="35">
      <c r="A35" s="26" t="inlineStr">
        <is>
          <t>Network totals / notes</t>
        </is>
      </c>
      <c r="C35" s="27">
        <f>SUM(C16:C34)</f>
        <v/>
      </c>
      <c r="G35" s="27">
        <f>SUM(G16:G34)</f>
        <v/>
      </c>
    </row>
    <row r="37">
      <c r="A37" s="2" t="inlineStr">
        <is>
          <t>• Candidate selection: the five highest-ranked plants (shaded) are carried into Consolidation_Scenarios and the Go/No-Go matrix, per the board directive of 3–5 candidates.</t>
        </is>
      </c>
    </row>
    <row r="38">
      <c r="A38" s="2" t="inlineStr">
        <is>
          <t>• D5 service scores are neutral (50.0) for the 12 plants absent from the order book and customer datasets; this is a flagged data limitation, not evidence of good or bad service.</t>
        </is>
      </c>
    </row>
    <row r="39">
      <c r="A39" s="2" t="inlineStr">
        <is>
          <t>• PLANT18 (rank 6, composite 56.3) and PLANT10 (rank 7, 55.8) fall in Tier 2 but sit outside the board-mandated 3–5 candidate cap; they are designated Phase-2 watchlist plants.</t>
        </is>
      </c>
    </row>
    <row r="40">
      <c r="A40" s="2" t="inlineStr">
        <is>
          <t>• All weights are editable in cells B8:B12; the composite column recalculates automatically for board sensitivity testing.</t>
        </is>
      </c>
    </row>
  </sheetData>
  <mergeCells count="7">
    <mergeCell ref="A40:N40"/>
    <mergeCell ref="E35:F35"/>
    <mergeCell ref="A39:N39"/>
    <mergeCell ref="C13:E13"/>
    <mergeCell ref="A4:N4"/>
    <mergeCell ref="A38:N38"/>
    <mergeCell ref="A37:N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11" customWidth="1" min="4" max="4"/>
    <col width="10" customWidth="1" min="5" max="5"/>
    <col width="46" customWidth="1" min="6" max="6"/>
    <col width="13" customWidth="1" min="7" max="7"/>
    <col width="12" customWidth="1" min="8" max="8"/>
    <col width="11" customWidth="1" min="9" max="9"/>
    <col width="13" customWidth="1" min="10" max="10"/>
    <col width="44" customWidth="1" min="11" max="11"/>
  </cols>
  <sheetData>
    <row r="1">
      <c r="A1" s="1" t="inlineStr">
        <is>
          <t>CONSOLIDATION SCENARIOS — VOLUME REDISTRIBUTION &amp; NET COST IMPACT</t>
        </is>
      </c>
    </row>
    <row r="2">
      <c r="A2" s="2" t="inlineStr">
        <is>
          <t>Tab 2 of 4: Redistribution of the five Tier-1/Tier-2 candidates under network topology constraints (volume can only be absorbed by plants sharing the candidate's port access).</t>
        </is>
      </c>
    </row>
    <row r="4">
      <c r="A4" s="4" t="inlineStr">
        <is>
          <t>MODEL ASSUMPTIONS &amp; RULES</t>
        </is>
      </c>
    </row>
    <row r="5" ht="42" customHeight="1">
      <c r="A5" s="28" t="inlineStr">
        <is>
          <t>Volume basis</t>
        </is>
      </c>
      <c r="B5" s="8" t="inlineStr">
        <is>
          <t>The pinned order book (9,215 orders, 29.5M units, 183,118 weight units) is used as the modelling period, consistent with the COO memo framing of "9,000+ shipments". All orders are dated 26-May-2013 — see Data_Reconciliation flag R-02.</t>
        </is>
      </c>
      <c r="C5" s="12" t="n"/>
      <c r="D5" s="12" t="n"/>
      <c r="E5" s="12" t="n"/>
      <c r="F5" s="12" t="n"/>
      <c r="G5" s="12" t="n"/>
      <c r="H5" s="12" t="n"/>
      <c r="I5" s="13" t="n"/>
    </row>
    <row r="6" ht="42" customHeight="1">
      <c r="A6" s="28" t="inlineStr">
        <is>
          <t>Absorption rule (topology)</t>
        </is>
      </c>
      <c r="B6" s="8" t="inlineStr">
        <is>
          <t>A candidate's volume may only be absorbed by non-candidate plants sharing at least one port (PlantPorts.csv). PORT04 hosts 7 plants, so PLANT19/08/09 volume stays inside the PORT04 cluster; origin port, lane and carrier rate are unchanged → freight delta $0.</t>
        </is>
      </c>
      <c r="C6" s="12" t="n"/>
      <c r="D6" s="12" t="n"/>
      <c r="E6" s="12" t="n"/>
      <c r="F6" s="12" t="n"/>
      <c r="G6" s="12" t="n"/>
      <c r="H6" s="12" t="n"/>
      <c r="I6" s="13" t="n"/>
    </row>
    <row r="7" ht="42" customHeight="1">
      <c r="A7" s="28" t="inlineStr">
        <is>
          <t>Allocation rule</t>
        </is>
      </c>
      <c r="B7" s="8" t="inlineStr">
        <is>
          <t>Volume is allocated across absorbers in proportion to stated daily capacity (excludes plants that are themselves closing). PORT04 absorber mix: PLANT03 49.6%, PLANT13 24.0%, PLANT11 16.2%, PLANT12 10.2%.</t>
        </is>
      </c>
      <c r="C7" s="12" t="n"/>
      <c r="D7" s="12" t="n"/>
      <c r="E7" s="12" t="n"/>
      <c r="F7" s="12" t="n"/>
      <c r="G7" s="12" t="n"/>
      <c r="H7" s="12" t="n"/>
      <c r="I7" s="13" t="n"/>
    </row>
    <row r="8" ht="42" customHeight="1">
      <c r="A8" s="28" t="inlineStr">
        <is>
          <t>Freight pricing</t>
        </is>
      </c>
      <c r="B8" s="8" t="inlineStr">
        <is>
          <t>Rate card convention: shipment cost = Min_Cost + Rate × weight, matched on carrier / origin port / destination port / service level / weight slab. Same-port absorption requires no re-rating; the PLANT16 sensitivity below demonstrates the re-rating mechanic for a unique-port plant.</t>
        </is>
      </c>
      <c r="C8" s="12" t="n"/>
      <c r="D8" s="12" t="n"/>
      <c r="E8" s="12" t="n"/>
      <c r="F8" s="12" t="n"/>
      <c r="G8" s="12" t="n"/>
      <c r="H8" s="12" t="n"/>
      <c r="I8" s="13" t="n"/>
    </row>
    <row r="9" ht="42" customHeight="1">
      <c r="A9" s="28" t="inlineStr">
        <is>
          <t>One-off transition cost</t>
        </is>
      </c>
      <c r="B9" s="8" t="inlineStr">
        <is>
          <t>$175,000 per affected plant (management assumption for severance, equipment transfer, systems re-pointing and inventory rebalancing). Not derivable from the pinned data.</t>
        </is>
      </c>
      <c r="C9" s="12" t="n"/>
      <c r="D9" s="12" t="n"/>
      <c r="E9" s="12" t="n"/>
      <c r="F9" s="12" t="n"/>
      <c r="G9" s="12" t="n"/>
      <c r="H9" s="12" t="n"/>
      <c r="I9" s="13" t="n"/>
    </row>
    <row r="10" ht="42" customHeight="1">
      <c r="A10" s="28" t="inlineStr">
        <is>
          <t>Fixed costs</t>
        </is>
      </c>
      <c r="B10" s="8" t="inlineStr">
        <is>
          <t>The memo (§4) describes WhCosts.csv as containing fixed AND variable components; the pinned file contains a single Cost_Per_Unit column. Fixed-cost release therefore cannot be quantified — flagged as R-08 and treated as an unpriced benefit.</t>
        </is>
      </c>
      <c r="C10" s="12" t="n"/>
      <c r="D10" s="12" t="n"/>
      <c r="E10" s="12" t="n"/>
      <c r="F10" s="12" t="n"/>
      <c r="G10" s="12" t="n"/>
      <c r="H10" s="12" t="n"/>
      <c r="I10" s="13" t="n"/>
    </row>
    <row r="12">
      <c r="A12" s="4" t="inlineStr">
        <is>
          <t>SCENARIO A–E — REDISTRIBUTION OF THE FIVE CANDIDATES</t>
        </is>
      </c>
    </row>
    <row r="13">
      <c r="A13" s="5" t="inlineStr">
        <is>
          <t>Candidate</t>
        </is>
      </c>
      <c r="B13" s="5" t="inlineStr">
        <is>
          <t>Topology position</t>
        </is>
      </c>
      <c r="C13" s="5" t="inlineStr">
        <is>
          <t>Orders</t>
        </is>
      </c>
      <c r="D13" s="5" t="inlineStr">
        <is>
          <t>Units</t>
        </is>
      </c>
      <c r="E13" s="5" t="inlineStr">
        <is>
          <t>Customers</t>
        </is>
      </c>
      <c r="F13" s="5" t="inlineStr">
        <is>
          <t>Redistribution plan</t>
        </is>
      </c>
      <c r="G13" s="5" t="inlineStr">
        <is>
          <t>Δ Warehousing cost / period</t>
        </is>
      </c>
      <c r="H13" s="5" t="inlineStr">
        <is>
          <t>Δ Freight cost / period</t>
        </is>
      </c>
      <c r="I13" s="5" t="inlineStr">
        <is>
          <t>One-off transition</t>
        </is>
      </c>
      <c r="J13" s="5" t="inlineStr">
        <is>
          <t>Net variable impact / period</t>
        </is>
      </c>
      <c r="K13" s="5" t="inlineStr">
        <is>
          <t>Feasibility &amp; service effect</t>
        </is>
      </c>
    </row>
    <row r="14" ht="62" customHeight="1">
      <c r="A14" s="6" t="inlineStr">
        <is>
          <t>PLANT19 (score 73.2)</t>
        </is>
      </c>
      <c r="B14" s="8" t="inlineStr">
        <is>
          <t>PORT04 shared with 6 plants</t>
        </is>
      </c>
      <c r="C14" s="22" t="n">
        <v>0</v>
      </c>
      <c r="D14" s="22" t="n">
        <v>0</v>
      </c>
      <c r="E14" s="20" t="n">
        <v>0</v>
      </c>
      <c r="F14" s="8" t="inlineStr">
        <is>
          <t>Dormant site: no orders in the book. Close facility; port role already covered by 6 PORT04 peers (2,069 combined daily capacity).</t>
        </is>
      </c>
      <c r="G14" s="29" t="n">
        <v>0</v>
      </c>
      <c r="H14" s="29" t="n">
        <v>0</v>
      </c>
      <c r="I14" s="29" t="n">
        <v>175000</v>
      </c>
      <c r="J14" s="29" t="n">
        <v>-175000</v>
      </c>
      <c r="K14" s="8" t="inlineStr">
        <is>
          <t>No customer exposure. Port access preserved. Recoverable only via fixed-cost release (unquantified).</t>
        </is>
      </c>
    </row>
    <row r="15" ht="62" customHeight="1">
      <c r="A15" s="6" t="inlineStr">
        <is>
          <t>PLANT08 (score 70.2)</t>
        </is>
      </c>
      <c r="B15" s="8" t="inlineStr">
        <is>
          <t>PORT04 shared with 6 plants</t>
        </is>
      </c>
      <c r="C15" s="22" t="n">
        <v>102</v>
      </c>
      <c r="D15" s="22" t="n">
        <v>277008</v>
      </c>
      <c r="E15" s="20" t="n">
        <v>5</v>
      </c>
      <c r="F15" s="8" t="inlineStr">
        <is>
          <t>Migrate 102 orders / 277,008 units to PORT04 peers per capacity shares: PLANT03 51 orders, PLANT13 24, PLANT11 17, PLANT12 10.</t>
        </is>
      </c>
      <c r="G15" s="29" t="n">
        <v>4281</v>
      </c>
      <c r="H15" s="29" t="n">
        <v>0</v>
      </c>
      <c r="I15" s="29" t="n">
        <v>175000</v>
      </c>
      <c r="J15" s="29" t="n">
        <v>179281</v>
      </c>
      <c r="K15" s="8" t="inlineStr">
        <is>
          <t>Load uplift: PLANT03 +0.6%, PLANT12 +3.5%, PLANT13 +28.4% of order counts. Late orders fall 18 → ~1 (17.65% → ~1.0%). Staged migration for top customer V555555555_14 (75.5% of orders).</t>
        </is>
      </c>
    </row>
    <row r="16" ht="62" customHeight="1">
      <c r="A16" s="6" t="inlineStr">
        <is>
          <t>PLANT09 (score 62.9)</t>
        </is>
      </c>
      <c r="B16" s="8" t="inlineStr">
        <is>
          <t>PORT04 shared with 6 plants</t>
        </is>
      </c>
      <c r="C16" s="22" t="n">
        <v>12</v>
      </c>
      <c r="D16" s="22" t="n">
        <v>223830</v>
      </c>
      <c r="E16" s="20" t="n">
        <v>2</v>
      </c>
      <c r="F16" s="8" t="inlineStr">
        <is>
          <t>Migrate 12 orders / 223,830 units to the same PORT04 mix (≈6/2/2/2 orders).</t>
        </is>
      </c>
      <c r="G16" s="29" t="n">
        <v>16394</v>
      </c>
      <c r="H16" s="29" t="n">
        <v>0</v>
      </c>
      <c r="I16" s="29" t="n">
        <v>175000</v>
      </c>
      <c r="J16" s="29" t="n">
        <v>191394</v>
      </c>
      <c r="K16" s="8" t="inlineStr">
        <is>
          <t>Load uplift ≤0.4% except PLANT11 (+2 orders on an unobserved base). Removes worst satisfaction score in network (2.50/5) and 3 complaints incl. one High-severity open case.</t>
        </is>
      </c>
    </row>
    <row r="17" ht="62" customHeight="1">
      <c r="A17" s="6" t="inlineStr">
        <is>
          <t>PLANT15 (score 60.3)</t>
        </is>
      </c>
      <c r="B17" s="8" t="inlineStr">
        <is>
          <t>Sole plant on PORT08</t>
        </is>
      </c>
      <c r="C17" s="22" t="n">
        <v>0</v>
      </c>
      <c r="D17" s="22" t="n">
        <v>0</v>
      </c>
      <c r="E17" s="20" t="n">
        <v>0</v>
      </c>
      <c r="F17" s="8" t="inlineStr">
        <is>
          <t>No observed volume. Consolidate the function administratively; transfer PORT08 origination role to the PORT04 cluster (rate card already prices PORT08→PORT09 and PORT04→PORT09 lanes).</t>
        </is>
      </c>
      <c r="G17" s="29" t="n">
        <v>0</v>
      </c>
      <c r="H17" s="29" t="n">
        <v>0</v>
      </c>
      <c r="I17" s="29" t="n">
        <v>175000</v>
      </c>
      <c r="J17" s="29" t="n">
        <v>175000</v>
      </c>
      <c r="K17" s="8" t="inlineStr">
        <is>
          <t>No customer exposure. Port access requires a transition SLA — the only plant serving PORT08 today.</t>
        </is>
      </c>
    </row>
    <row r="18" ht="62" customHeight="1">
      <c r="A18" s="6" t="inlineStr">
        <is>
          <t>PLANT06 (score 60.3)</t>
        </is>
      </c>
      <c r="B18" s="8" t="inlineStr">
        <is>
          <t>Shares PORT06 with PLANT05</t>
        </is>
      </c>
      <c r="C18" s="22" t="n">
        <v>0</v>
      </c>
      <c r="D18" s="22" t="n">
        <v>0</v>
      </c>
      <c r="E18" s="20" t="n">
        <v>0</v>
      </c>
      <c r="F18" s="8" t="inlineStr">
        <is>
          <t>No observed volume. Fold into PLANT05 (same port, 385 units/day capacity, cheaper handling $0.488 vs $0.554 per unit).</t>
        </is>
      </c>
      <c r="G18" s="29" t="n">
        <v>0</v>
      </c>
      <c r="H18" s="29" t="n">
        <v>0</v>
      </c>
      <c r="I18" s="29" t="n">
        <v>175000</v>
      </c>
      <c r="J18" s="29" t="n">
        <v>175000</v>
      </c>
      <c r="K18" s="8" t="inlineStr">
        <is>
          <t>No customer exposure. Cleanest merge in the network: single same-port peer with surplus capacity and lower unit cost.</t>
        </is>
      </c>
    </row>
    <row r="19" ht="44" customHeight="1">
      <c r="A19" s="26" t="inlineStr">
        <is>
          <t>PORTAL TOTALS (variable-cost basis)</t>
        </is>
      </c>
      <c r="C19" s="27">
        <f>SUM(C14:C18)</f>
        <v/>
      </c>
      <c r="D19" s="27">
        <f>SUM(D14:D18)</f>
        <v/>
      </c>
      <c r="E19" s="30">
        <f>SUM(E14:E18)</f>
        <v/>
      </c>
      <c r="G19" s="31">
        <f>SUM(G14:G18)</f>
        <v/>
      </c>
      <c r="H19" s="31">
        <f>SUM(H14:H18)</f>
        <v/>
      </c>
      <c r="I19" s="31">
        <f>SUM(I14:I18)</f>
        <v/>
      </c>
      <c r="J19" s="31">
        <f>SUM(J14:J18)</f>
        <v/>
      </c>
      <c r="K19" s="32" t="inlineStr">
        <is>
          <t>Variable warehousing cost rises ≈$20.7k/period because both volume carriers move to a marginally costlier blended peer rate; the case rests on service recovery and unquantified fixed-cost release (R-08).</t>
        </is>
      </c>
    </row>
    <row r="21">
      <c r="A21" s="4" t="inlineStr">
        <is>
          <t>SENSITIVITY S-1 — UNIQUE-PORT RE-RATING MECHANIC (why PLANT16 is retained in Phase 1)</t>
        </is>
      </c>
    </row>
    <row r="22">
      <c r="A22" s="5" t="inlineStr">
        <is>
          <t>Scenario</t>
        </is>
      </c>
      <c r="B22" s="5" t="inlineStr">
        <is>
          <t>Topology constraint</t>
        </is>
      </c>
      <c r="C22" s="5" t="inlineStr">
        <is>
          <t>Freight re-rating result</t>
        </is>
      </c>
      <c r="D22" s="5" t="inlineStr">
        <is>
          <t>Warehousing delta / period</t>
        </is>
      </c>
      <c r="E22" s="5" t="inlineStr">
        <is>
          <t>Net variable saving / period</t>
        </is>
      </c>
      <c r="F22" s="5" t="inlineStr">
        <is>
          <t>Transit-time effect</t>
        </is>
      </c>
      <c r="G22" s="5" t="inlineStr">
        <is>
          <t>Interpretation</t>
        </is>
      </c>
    </row>
    <row r="23" ht="62" customHeight="1">
      <c r="A23" s="6" t="inlineStr">
        <is>
          <t>PLANT16 (score 38.4) migrated to PORT04 cluster</t>
        </is>
      </c>
      <c r="B23" s="8" t="inlineStr">
        <is>
          <t>Sole plant on PORT09 — absorption requires changing origin port (not same-port consolidation).</t>
        </is>
      </c>
      <c r="C23" s="8" t="inlineStr">
        <is>
          <t>All 173 orders re-priced on PORT04→PORT09 lanes: $4,128 → $1,644 per period (Δ −$2,484).</t>
        </is>
      </c>
      <c r="D23" s="29" t="n">
        <v>-338653</v>
      </c>
      <c r="E23" s="29" t="n">
        <v>-341137</v>
      </c>
      <c r="F23" s="8" t="inlineStr">
        <is>
          <t>Current PLANT16 TPT is 0–1 days (same-port); PORT04 lanes quote 0–5 days → service degradation risk for its 173 orders.</t>
        </is>
      </c>
      <c r="G23" s="8" t="inlineStr">
        <is>
          <t>Material variable-cost saving (−$341k/period, driven by $1.92 vs $0.54 per-unit handling) makes PLANT16 a Phase-2 candidate once fixed costs and the port-role transfer are audited. Not in the board's 3–5 scope for Phase 1.</t>
        </is>
      </c>
    </row>
    <row r="25">
      <c r="A25" s="2" t="inlineStr">
        <is>
          <t>• Rate-card verification for same-port absorption: carrier V444_0 quotes all weight slabs on PORT04→PORT09 for both DTD and DTP services (rates $0.0424–$0.0824), so redistributed PLANT08/PLANT09 volume remains fully priceable with no lane change.</t>
        </is>
      </c>
    </row>
    <row r="26">
      <c r="A26" s="2" t="inlineStr">
        <is>
          <t>• Stated-capacity headroom cannot be tested at face value: observed units (29.5M) exceed total stated daily capacity (5,791) by ≈5,096×, indicating a unit-scale inconsistency between datasets (flag R-13). Feasibility is therefore assessed on order-count load uplift.</t>
        </is>
      </c>
    </row>
  </sheetData>
  <mergeCells count="8">
    <mergeCell ref="B9:I9"/>
    <mergeCell ref="A26:K26"/>
    <mergeCell ref="B7:I7"/>
    <mergeCell ref="B6:I6"/>
    <mergeCell ref="A25:K25"/>
    <mergeCell ref="B10:I10"/>
    <mergeCell ref="B5:I5"/>
    <mergeCell ref="B8:I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6" customWidth="1" min="4" max="4"/>
    <col width="24" customWidth="1" min="5" max="5"/>
    <col width="20" customWidth="1" min="6" max="6"/>
    <col width="12" customWidth="1" min="7" max="7"/>
    <col width="10" customWidth="1" min="8" max="8"/>
    <col width="10" customWidth="1" min="9" max="9"/>
    <col width="10" customWidth="1" min="10" max="10"/>
    <col width="22" customWidth="1" min="11" max="11"/>
    <col width="14" customWidth="1" min="12" max="12"/>
  </cols>
  <sheetData>
    <row r="1">
      <c r="A1" s="1" t="inlineStr">
        <is>
          <t>RISK MATRIX — CUSTOMER ATTRITION &amp; IMPLEMENTATION RISK BY CLOSURE CANDIDATE</t>
        </is>
      </c>
    </row>
    <row r="2">
      <c r="A2" s="2" t="inlineStr">
        <is>
          <t>Tab 3 of 4: Q4-2023 complaint log and satisfaction survey cross-referenced against the five candidates. Order-book evidence where available.</t>
        </is>
      </c>
    </row>
    <row r="4">
      <c r="A4" s="4" t="inlineStr">
        <is>
          <t>CUSTOMER ATTRITION RISK BY CANDIDATE</t>
        </is>
      </c>
    </row>
    <row r="5">
      <c r="A5" s="5" t="inlineStr">
        <is>
          <t>Plant</t>
        </is>
      </c>
      <c r="B5" s="5" t="inlineStr">
        <is>
          <t>Orders</t>
        </is>
      </c>
      <c r="C5" s="5" t="inlineStr">
        <is>
          <t>Customers</t>
        </is>
      </c>
      <c r="D5" s="5" t="inlineStr">
        <is>
          <t>Top-customer concentration</t>
        </is>
      </c>
      <c r="E5" s="5" t="inlineStr">
        <is>
          <t>Late orders (rate)</t>
        </is>
      </c>
      <c r="F5" s="5" t="inlineStr">
        <is>
          <t>Complaints (Q4)</t>
        </is>
      </c>
      <c r="G5" s="5" t="inlineStr">
        <is>
          <t>Severity-weighted load</t>
        </is>
      </c>
      <c r="H5" s="5" t="inlineStr">
        <is>
          <t>Open complaints</t>
        </is>
      </c>
      <c r="I5" s="5" t="inlineStr">
        <is>
          <t>Survey responses</t>
        </is>
      </c>
      <c r="J5" s="5" t="inlineStr">
        <is>
          <t>Detractors (NPS-style)</t>
        </is>
      </c>
      <c r="K5" s="5" t="inlineStr">
        <is>
          <t>Avg satisfaction / timeliness</t>
        </is>
      </c>
    </row>
    <row r="6" ht="34" customHeight="1">
      <c r="A6" s="20" t="inlineStr">
        <is>
          <t>PLANT19</t>
        </is>
      </c>
      <c r="B6" s="20" t="n">
        <v>0</v>
      </c>
      <c r="C6" s="20" t="n">
        <v>0</v>
      </c>
      <c r="D6" s="8" t="inlineStr">
        <is>
          <t>n/a — no orders</t>
        </is>
      </c>
      <c r="E6" s="20" t="inlineStr">
        <is>
          <t>n/a</t>
        </is>
      </c>
      <c r="F6" s="20" t="n">
        <v>0</v>
      </c>
      <c r="G6" s="20" t="n">
        <v>0</v>
      </c>
      <c r="H6" s="20" t="n">
        <v>0</v>
      </c>
      <c r="I6" s="20" t="n">
        <v>0</v>
      </c>
      <c r="J6" s="20" t="n">
        <v>0</v>
      </c>
      <c r="K6" s="20" t="inlineStr">
        <is>
          <t>n/a</t>
        </is>
      </c>
      <c r="L6" s="33" t="inlineStr">
        <is>
          <t>LOW</t>
        </is>
      </c>
    </row>
    <row r="7" ht="34" customHeight="1">
      <c r="A7" s="20" t="inlineStr">
        <is>
          <t>PLANT08</t>
        </is>
      </c>
      <c r="B7" s="20" t="n">
        <v>102</v>
      </c>
      <c r="C7" s="20" t="n">
        <v>5</v>
      </c>
      <c r="D7" s="8" t="inlineStr">
        <is>
          <t>75.5% — V555555555_14 (77 of 102 orders)</t>
        </is>
      </c>
      <c r="E7" s="20" t="inlineStr">
        <is>
          <t>18 (17.65%) — network worst</t>
        </is>
      </c>
      <c r="F7" s="20" t="n">
        <v>3</v>
      </c>
      <c r="G7" s="20" t="n">
        <v>6</v>
      </c>
      <c r="H7" s="20" t="n">
        <v>2</v>
      </c>
      <c r="I7" s="20" t="n">
        <v>8</v>
      </c>
      <c r="J7" s="20" t="n">
        <v>4</v>
      </c>
      <c r="K7" s="20" t="inlineStr">
        <is>
          <t>3.12 / 2.62</t>
        </is>
      </c>
      <c r="L7" s="34" t="inlineStr">
        <is>
          <t>HIGH</t>
        </is>
      </c>
    </row>
    <row r="8" ht="34" customHeight="1">
      <c r="A8" s="20" t="inlineStr">
        <is>
          <t>PLANT09</t>
        </is>
      </c>
      <c r="B8" s="20" t="n">
        <v>12</v>
      </c>
      <c r="C8" s="20" t="n">
        <v>2</v>
      </c>
      <c r="D8" s="8" t="inlineStr">
        <is>
          <t>91.7% — V55555555_7 (11 of 12 orders)</t>
        </is>
      </c>
      <c r="E8" s="20" t="inlineStr">
        <is>
          <t>0 (0.00%)</t>
        </is>
      </c>
      <c r="F8" s="20" t="n">
        <v>3</v>
      </c>
      <c r="G8" s="20" t="n">
        <v>7</v>
      </c>
      <c r="H8" s="20" t="n">
        <v>2</v>
      </c>
      <c r="I8" s="20" t="n">
        <v>8</v>
      </c>
      <c r="J8" s="20" t="n">
        <v>4</v>
      </c>
      <c r="K8" s="20" t="inlineStr">
        <is>
          <t>2.50 / 2.88</t>
        </is>
      </c>
      <c r="L8" s="34" t="inlineStr">
        <is>
          <t>HIGH</t>
        </is>
      </c>
    </row>
    <row r="9" ht="34" customHeight="1">
      <c r="A9" s="20" t="inlineStr">
        <is>
          <t>PLANT15</t>
        </is>
      </c>
      <c r="B9" s="20" t="n">
        <v>0</v>
      </c>
      <c r="C9" s="20" t="n">
        <v>0</v>
      </c>
      <c r="D9" s="8" t="inlineStr">
        <is>
          <t>n/a — no orders</t>
        </is>
      </c>
      <c r="E9" s="20" t="inlineStr">
        <is>
          <t>n/a</t>
        </is>
      </c>
      <c r="F9" s="20" t="n">
        <v>0</v>
      </c>
      <c r="G9" s="20" t="n">
        <v>0</v>
      </c>
      <c r="H9" s="20" t="n">
        <v>0</v>
      </c>
      <c r="I9" s="20" t="n">
        <v>0</v>
      </c>
      <c r="J9" s="20" t="n">
        <v>0</v>
      </c>
      <c r="K9" s="20" t="inlineStr">
        <is>
          <t>n/a</t>
        </is>
      </c>
      <c r="L9" s="33" t="inlineStr">
        <is>
          <t>LOW</t>
        </is>
      </c>
    </row>
    <row r="10" ht="34" customHeight="1">
      <c r="A10" s="20" t="inlineStr">
        <is>
          <t>PLANT06</t>
        </is>
      </c>
      <c r="B10" s="20" t="n">
        <v>0</v>
      </c>
      <c r="C10" s="20" t="n">
        <v>0</v>
      </c>
      <c r="D10" s="8" t="inlineStr">
        <is>
          <t>n/a — no orders</t>
        </is>
      </c>
      <c r="E10" s="20" t="inlineStr">
        <is>
          <t>n/a</t>
        </is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0" t="inlineStr">
        <is>
          <t>n/a</t>
        </is>
      </c>
      <c r="L10" s="33" t="inlineStr">
        <is>
          <t>LOW</t>
        </is>
      </c>
    </row>
    <row r="12">
      <c r="A12" s="4" t="inlineStr">
        <is>
          <t>RISK RATIONALE &amp; MITIGATION (evidence-grounded)</t>
        </is>
      </c>
    </row>
    <row r="13" ht="62" customHeight="1">
      <c r="A13" s="35" t="inlineStr">
        <is>
          <t>PLANT19</t>
        </is>
      </c>
      <c r="B13" s="36" t="inlineStr">
        <is>
          <t>No customers, orders, complaints or survey responses — no attrition exposure. Risk is operational (capacity book shows 7 units/day) rather than commercial.</t>
        </is>
      </c>
      <c r="C13" s="36" t="inlineStr">
        <is>
          <t>Straight closure; no customer communication required beyond routine network notice.</t>
        </is>
      </c>
    </row>
    <row r="14" ht="62" customHeight="1">
      <c r="A14" s="6" t="inlineStr">
        <is>
          <t>PLANT08</t>
        </is>
      </c>
      <c r="B14" s="8" t="inlineStr">
        <is>
          <t>Top customer V555555555_14 holds 75.5% of orders and spans 2 plants. Detractors CUST-026 ("orders sitting for days"), CUST-011, CUST-007 and CUST-027 ("fulfillment times have doubled") all map to PLANT08. Complaints C-002 (late, open 22 days), C-006 (wrong items, open) and C-008 (late, HIGH severity) sit here; late rate 17.65% is the network's worst.</t>
        </is>
      </c>
      <c r="C14" s="8" t="inlineStr">
        <is>
          <t>Stage migration customer-by-customer; white-glove plan for V555555555_14; close C-002/C-006 before cutover; 30-day dual-running period.</t>
        </is>
      </c>
    </row>
    <row r="15" ht="62" customHeight="1">
      <c r="A15" s="6" t="inlineStr">
        <is>
          <t>PLANT09</t>
        </is>
      </c>
      <c r="B15" s="8" t="inlineStr">
        <is>
          <t>Only 2 customers but 91.7% concentration in V55555555_7. Worst average satisfaction in the network (2.50/5) with 4 of 8 detractors (CUST-030, 034, 025, 021 — "two out of three orders late... unacceptable for DTD"). Complaints C-004, C-009 (open 22 days) and C-014 (HIGH severity, open) sit here.</t>
        </is>
      </c>
      <c r="C15" s="8" t="inlineStr">
        <is>
          <t>Migrate both accounts with pre-agreed cutover dates; resolve C-009/C-014 first; assign named transition owner; post-migration CSAT pulse at 30 days.</t>
        </is>
      </c>
    </row>
    <row r="16" ht="62" customHeight="1">
      <c r="A16" s="6" t="inlineStr">
        <is>
          <t>PLANT15</t>
        </is>
      </c>
      <c r="B16" s="8" t="inlineStr">
        <is>
          <t>No observed customers or complaints. Commercial risk nil; risk is network design — PLANT15 is the only plant on PORT08, so closure without a port-role plan would strand PORT08 origination.</t>
        </is>
      </c>
      <c r="C16" s="8" t="inlineStr">
        <is>
          <t>Administrative consolidation now; keep PORT08 lane contracted (rate card holds PORT08→PORT09 pricing) until volume materialises or the lane is formally retired.</t>
        </is>
      </c>
    </row>
    <row r="17" ht="62" customHeight="1">
      <c r="A17" s="6" t="inlineStr">
        <is>
          <t>PLANT06</t>
        </is>
      </c>
      <c r="B17" s="8" t="inlineStr">
        <is>
          <t>No observed customers or complaints. Fold into PLANT05 on the shared PORT06 — capacity 385 units/day and cheaper handling ($0.488 vs $0.554/unit) make absorption clean.</t>
        </is>
      </c>
      <c r="C17" s="8" t="inlineStr">
        <is>
          <t>Merge inventory and WMS records into PLANT05; single cutover; no customer-facing change expected.</t>
        </is>
      </c>
    </row>
    <row r="19">
      <c r="A19" s="4" t="inlineStr">
        <is>
          <t>Q4-2023 COMPLAINT LOG CROSS-REFERENCE (all 18 complaints; candidate plants flagged)</t>
        </is>
      </c>
    </row>
    <row r="20">
      <c r="A20" s="37" t="inlineStr">
        <is>
          <t>C-001</t>
        </is>
      </c>
      <c r="B20" s="37" t="inlineStr">
        <is>
          <t>2023-10-16</t>
        </is>
      </c>
      <c r="C20" s="37" t="inlineStr">
        <is>
          <t>PLANT03</t>
        </is>
      </c>
      <c r="D20" s="37" t="inlineStr">
        <is>
          <t>No</t>
        </is>
      </c>
      <c r="E20" s="36" t="inlineStr">
        <is>
          <t>Billing Error / Medium</t>
        </is>
      </c>
      <c r="F20" s="37" t="inlineStr">
        <is>
          <t>Pending / 15</t>
        </is>
      </c>
      <c r="G20" s="37" t="inlineStr">
        <is>
          <t>CUST-008</t>
        </is>
      </c>
    </row>
    <row r="21">
      <c r="A21" s="14" t="inlineStr">
        <is>
          <t>C-002</t>
        </is>
      </c>
      <c r="B21" s="14" t="inlineStr">
        <is>
          <t>2023-10-16</t>
        </is>
      </c>
      <c r="C21" s="14" t="inlineStr">
        <is>
          <t>PLANT08</t>
        </is>
      </c>
      <c r="D21" s="14" t="inlineStr">
        <is>
          <t>YES — candidate</t>
        </is>
      </c>
      <c r="E21" s="38" t="inlineStr">
        <is>
          <t>Late Delivery / Medium</t>
        </is>
      </c>
      <c r="F21" s="14" t="inlineStr">
        <is>
          <t>Pending / 22</t>
        </is>
      </c>
      <c r="G21" s="14" t="inlineStr">
        <is>
          <t>CUST-027</t>
        </is>
      </c>
    </row>
    <row r="22">
      <c r="A22" s="20" t="inlineStr">
        <is>
          <t>C-003</t>
        </is>
      </c>
      <c r="B22" s="20" t="inlineStr">
        <is>
          <t>2023-10-26</t>
        </is>
      </c>
      <c r="C22" s="20" t="inlineStr">
        <is>
          <t>PLANT03</t>
        </is>
      </c>
      <c r="D22" s="20" t="inlineStr">
        <is>
          <t>No</t>
        </is>
      </c>
      <c r="E22" s="8" t="inlineStr">
        <is>
          <t>Late Delivery / Medium</t>
        </is>
      </c>
      <c r="F22" s="20" t="inlineStr">
        <is>
          <t>Resolved / 14</t>
        </is>
      </c>
      <c r="G22" s="20" t="inlineStr">
        <is>
          <t>CUST-009</t>
        </is>
      </c>
    </row>
    <row r="23">
      <c r="A23" s="14" t="inlineStr">
        <is>
          <t>C-004</t>
        </is>
      </c>
      <c r="B23" s="14" t="inlineStr">
        <is>
          <t>2023-10-27</t>
        </is>
      </c>
      <c r="C23" s="14" t="inlineStr">
        <is>
          <t>PLANT09</t>
        </is>
      </c>
      <c r="D23" s="14" t="inlineStr">
        <is>
          <t>YES — candidate</t>
        </is>
      </c>
      <c r="E23" s="38" t="inlineStr">
        <is>
          <t>Communication Gap / Medium</t>
        </is>
      </c>
      <c r="F23" s="14" t="inlineStr">
        <is>
          <t>Resolved / 8</t>
        </is>
      </c>
      <c r="G23" s="14" t="inlineStr">
        <is>
          <t>CUST-016</t>
        </is>
      </c>
    </row>
    <row r="24">
      <c r="A24" s="20" t="inlineStr">
        <is>
          <t>C-005</t>
        </is>
      </c>
      <c r="B24" s="20" t="inlineStr">
        <is>
          <t>2023-10-29</t>
        </is>
      </c>
      <c r="C24" s="20" t="inlineStr">
        <is>
          <t>PLANT03</t>
        </is>
      </c>
      <c r="D24" s="20" t="inlineStr">
        <is>
          <t>No</t>
        </is>
      </c>
      <c r="E24" s="8" t="inlineStr">
        <is>
          <t>Communication Gap / Medium</t>
        </is>
      </c>
      <c r="F24" s="20" t="inlineStr">
        <is>
          <t>Resolved / 9</t>
        </is>
      </c>
      <c r="G24" s="20" t="inlineStr">
        <is>
          <t>CUST-009</t>
        </is>
      </c>
    </row>
    <row r="25">
      <c r="A25" s="14" t="inlineStr">
        <is>
          <t>C-006</t>
        </is>
      </c>
      <c r="B25" s="14" t="inlineStr">
        <is>
          <t>2023-11-01</t>
        </is>
      </c>
      <c r="C25" s="14" t="inlineStr">
        <is>
          <t>PLANT08</t>
        </is>
      </c>
      <c r="D25" s="14" t="inlineStr">
        <is>
          <t>YES — candidate</t>
        </is>
      </c>
      <c r="E25" s="38" t="inlineStr">
        <is>
          <t>Wrong Items / Low</t>
        </is>
      </c>
      <c r="F25" s="14" t="inlineStr">
        <is>
          <t>Pending / 8</t>
        </is>
      </c>
      <c r="G25" s="14" t="inlineStr">
        <is>
          <t>CUST-018</t>
        </is>
      </c>
    </row>
    <row r="26">
      <c r="A26" s="20" t="inlineStr">
        <is>
          <t>C-007</t>
        </is>
      </c>
      <c r="B26" s="20" t="inlineStr">
        <is>
          <t>2023-11-03</t>
        </is>
      </c>
      <c r="C26" s="20" t="inlineStr">
        <is>
          <t>PLANT16</t>
        </is>
      </c>
      <c r="D26" s="20" t="inlineStr">
        <is>
          <t>No</t>
        </is>
      </c>
      <c r="E26" s="8" t="inlineStr">
        <is>
          <t>Billing Error / High</t>
        </is>
      </c>
      <c r="F26" s="20" t="inlineStr">
        <is>
          <t>Resolved / 2</t>
        </is>
      </c>
      <c r="G26" s="20" t="inlineStr">
        <is>
          <t>CUST-028</t>
        </is>
      </c>
    </row>
    <row r="27">
      <c r="A27" s="14" t="inlineStr">
        <is>
          <t>C-008</t>
        </is>
      </c>
      <c r="B27" s="14" t="inlineStr">
        <is>
          <t>2023-11-06</t>
        </is>
      </c>
      <c r="C27" s="14" t="inlineStr">
        <is>
          <t>PLANT08</t>
        </is>
      </c>
      <c r="D27" s="14" t="inlineStr">
        <is>
          <t>YES — candidate</t>
        </is>
      </c>
      <c r="E27" s="38" t="inlineStr">
        <is>
          <t>Late Delivery / High</t>
        </is>
      </c>
      <c r="F27" s="14" t="inlineStr">
        <is>
          <t>Resolved / 5</t>
        </is>
      </c>
      <c r="G27" s="14" t="inlineStr">
        <is>
          <t>CUST-007</t>
        </is>
      </c>
    </row>
    <row r="28">
      <c r="A28" s="14" t="inlineStr">
        <is>
          <t>C-009</t>
        </is>
      </c>
      <c r="B28" s="14" t="inlineStr">
        <is>
          <t>2023-11-10</t>
        </is>
      </c>
      <c r="C28" s="14" t="inlineStr">
        <is>
          <t>PLANT09</t>
        </is>
      </c>
      <c r="D28" s="14" t="inlineStr">
        <is>
          <t>YES — candidate</t>
        </is>
      </c>
      <c r="E28" s="38" t="inlineStr">
        <is>
          <t>Wrong Items / Medium</t>
        </is>
      </c>
      <c r="F28" s="14" t="inlineStr">
        <is>
          <t>Pending / 22</t>
        </is>
      </c>
      <c r="G28" s="14" t="inlineStr">
        <is>
          <t>CUST-021</t>
        </is>
      </c>
    </row>
    <row r="29">
      <c r="A29" s="39" t="inlineStr">
        <is>
          <t>C-010</t>
        </is>
      </c>
      <c r="B29" s="39" t="inlineStr">
        <is>
          <t>2023-11-14</t>
        </is>
      </c>
      <c r="C29" s="39" t="inlineStr">
        <is>
          <t>PLANT12</t>
        </is>
      </c>
      <c r="D29" s="39" t="inlineStr">
        <is>
          <t>No (absorber)</t>
        </is>
      </c>
      <c r="E29" s="11" t="inlineStr">
        <is>
          <t>Wrong Items / Medium</t>
        </is>
      </c>
      <c r="F29" s="39" t="inlineStr">
        <is>
          <t>Escalated / 13</t>
        </is>
      </c>
      <c r="G29" s="39" t="inlineStr">
        <is>
          <t>CUST-003</t>
        </is>
      </c>
    </row>
    <row r="30">
      <c r="A30" s="20" t="inlineStr">
        <is>
          <t>C-011</t>
        </is>
      </c>
      <c r="B30" s="20" t="inlineStr">
        <is>
          <t>2023-11-16</t>
        </is>
      </c>
      <c r="C30" s="20" t="inlineStr">
        <is>
          <t>PLANT03</t>
        </is>
      </c>
      <c r="D30" s="20" t="inlineStr">
        <is>
          <t>No</t>
        </is>
      </c>
      <c r="E30" s="8" t="inlineStr">
        <is>
          <t>Late Delivery / Medium</t>
        </is>
      </c>
      <c r="F30" s="20" t="inlineStr">
        <is>
          <t>Resolved / 6</t>
        </is>
      </c>
      <c r="G30" s="20" t="inlineStr">
        <is>
          <t>CUST-020</t>
        </is>
      </c>
    </row>
    <row r="31">
      <c r="A31" s="20" t="inlineStr">
        <is>
          <t>C-012</t>
        </is>
      </c>
      <c r="B31" s="20" t="inlineStr">
        <is>
          <t>2023-11-21</t>
        </is>
      </c>
      <c r="C31" s="20" t="inlineStr">
        <is>
          <t>PLANT03</t>
        </is>
      </c>
      <c r="D31" s="20" t="inlineStr">
        <is>
          <t>No</t>
        </is>
      </c>
      <c r="E31" s="8" t="inlineStr">
        <is>
          <t>Late Delivery / Low</t>
        </is>
      </c>
      <c r="F31" s="20" t="inlineStr">
        <is>
          <t>Pending / 16</t>
        </is>
      </c>
      <c r="G31" s="20" t="inlineStr">
        <is>
          <t>CUST-009</t>
        </is>
      </c>
    </row>
    <row r="32">
      <c r="A32" s="20" t="inlineStr">
        <is>
          <t>C-013</t>
        </is>
      </c>
      <c r="B32" s="20" t="inlineStr">
        <is>
          <t>2023-11-28</t>
        </is>
      </c>
      <c r="C32" s="20" t="inlineStr">
        <is>
          <t>PLANT16</t>
        </is>
      </c>
      <c r="D32" s="20" t="inlineStr">
        <is>
          <t>No</t>
        </is>
      </c>
      <c r="E32" s="8" t="inlineStr">
        <is>
          <t>Billing Error / Low</t>
        </is>
      </c>
      <c r="F32" s="20" t="inlineStr">
        <is>
          <t>Resolved / 8</t>
        </is>
      </c>
      <c r="G32" s="20" t="inlineStr">
        <is>
          <t>CUST-002</t>
        </is>
      </c>
    </row>
    <row r="33">
      <c r="A33" s="14" t="inlineStr">
        <is>
          <t>C-014</t>
        </is>
      </c>
      <c r="B33" s="14" t="inlineStr">
        <is>
          <t>2023-12-05</t>
        </is>
      </c>
      <c r="C33" s="14" t="inlineStr">
        <is>
          <t>PLANT09</t>
        </is>
      </c>
      <c r="D33" s="14" t="inlineStr">
        <is>
          <t>YES — candidate</t>
        </is>
      </c>
      <c r="E33" s="38" t="inlineStr">
        <is>
          <t>Wrong Items / High</t>
        </is>
      </c>
      <c r="F33" s="14" t="inlineStr">
        <is>
          <t>Pending / 5</t>
        </is>
      </c>
      <c r="G33" s="14" t="inlineStr">
        <is>
          <t>CUST-016</t>
        </is>
      </c>
    </row>
    <row r="34">
      <c r="A34" s="20" t="inlineStr">
        <is>
          <t>C-015</t>
        </is>
      </c>
      <c r="B34" s="20" t="inlineStr">
        <is>
          <t>2023-12-13</t>
        </is>
      </c>
      <c r="C34" s="20" t="inlineStr">
        <is>
          <t>PLANT04</t>
        </is>
      </c>
      <c r="D34" s="20" t="inlineStr">
        <is>
          <t>No</t>
        </is>
      </c>
      <c r="E34" s="8" t="inlineStr">
        <is>
          <t>Wrong Items / Low</t>
        </is>
      </c>
      <c r="F34" s="20" t="inlineStr">
        <is>
          <t>Resolved / 9</t>
        </is>
      </c>
      <c r="G34" s="20" t="inlineStr">
        <is>
          <t>CUST-031</t>
        </is>
      </c>
    </row>
    <row r="35">
      <c r="A35" s="39" t="inlineStr">
        <is>
          <t>C-016</t>
        </is>
      </c>
      <c r="B35" s="39" t="inlineStr">
        <is>
          <t>2023-12-18</t>
        </is>
      </c>
      <c r="C35" s="39" t="inlineStr">
        <is>
          <t>PLANT12</t>
        </is>
      </c>
      <c r="D35" s="39" t="inlineStr">
        <is>
          <t>No (absorber)</t>
        </is>
      </c>
      <c r="E35" s="11" t="inlineStr">
        <is>
          <t>Wrong Items / Medium</t>
        </is>
      </c>
      <c r="F35" s="39" t="inlineStr">
        <is>
          <t>Escalated / 19</t>
        </is>
      </c>
      <c r="G35" s="39" t="inlineStr">
        <is>
          <t>CUST-022</t>
        </is>
      </c>
    </row>
    <row r="36">
      <c r="A36" s="39" t="inlineStr">
        <is>
          <t>C-017</t>
        </is>
      </c>
      <c r="B36" s="39" t="inlineStr">
        <is>
          <t>2023-12-26</t>
        </is>
      </c>
      <c r="C36" s="39" t="inlineStr">
        <is>
          <t>PLANT13</t>
        </is>
      </c>
      <c r="D36" s="39" t="inlineStr">
        <is>
          <t>No (absorber)</t>
        </is>
      </c>
      <c r="E36" s="11" t="inlineStr">
        <is>
          <t>Billing Error / Medium</t>
        </is>
      </c>
      <c r="F36" s="39" t="inlineStr">
        <is>
          <t>Escalated / 15</t>
        </is>
      </c>
      <c r="G36" s="39" t="inlineStr">
        <is>
          <t>CUST-019</t>
        </is>
      </c>
    </row>
    <row r="37">
      <c r="A37" s="39" t="inlineStr">
        <is>
          <t>C-018</t>
        </is>
      </c>
      <c r="B37" s="39" t="inlineStr">
        <is>
          <t>2023-12-29</t>
        </is>
      </c>
      <c r="C37" s="39" t="inlineStr">
        <is>
          <t>PLANT13</t>
        </is>
      </c>
      <c r="D37" s="39" t="inlineStr">
        <is>
          <t>No (absorber)</t>
        </is>
      </c>
      <c r="E37" s="11" t="inlineStr">
        <is>
          <t>Billing Error / Low</t>
        </is>
      </c>
      <c r="F37" s="39" t="inlineStr">
        <is>
          <t>Resolved / 7</t>
        </is>
      </c>
      <c r="G37" s="39" t="inlineStr">
        <is>
          <t>CUST-023</t>
        </is>
      </c>
    </row>
    <row r="39">
      <c r="A39" s="2" t="inlineStr">
        <is>
          <t>• 6 of 18 complaints (33%) sit on candidate plants; 4 remain open, including the two HIGH-severity cases C-008 (PLANT08) and C-014 (PLANT09).</t>
        </is>
      </c>
    </row>
    <row r="40">
      <c r="A40" s="2" t="inlineStr">
        <is>
          <t>• Two absorber plants carry open escalations (C-016 PLANT12; C-016/C-017 PLANT13) — absorber readiness must include closing these before receiving migrated volume.</t>
        </is>
      </c>
    </row>
    <row r="41">
      <c r="A41" s="2" t="inlineStr">
        <is>
          <t>• Customer contagion: 16 of 46 order-book customers ship via more than one plant and 12 survey respondents comment on more than one plant, so a botched migration can propagate dissatisfaction across the network — e.g. CUST-009 surveyed at PLANT03, PLANT08 and PLANT09 in the same quarter.</t>
        </is>
      </c>
    </row>
    <row r="42">
      <c r="A42" s="2" t="inlineStr">
        <is>
          <t>• Consolidation into the PORT04 cluster increases PLANT03 dependence: it already carries 92.7% of orders and 96.9% of units. Allocation caps (≤50% of redistributed volume to any single absorber) are embedded in the capacity-share rule.</t>
        </is>
      </c>
    </row>
  </sheetData>
  <mergeCells count="4">
    <mergeCell ref="A41:L41"/>
    <mergeCell ref="A39:L39"/>
    <mergeCell ref="A40:L40"/>
    <mergeCell ref="A42:L4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0" customWidth="1" min="3" max="3"/>
    <col width="52" customWidth="1" min="4" max="4"/>
    <col width="22" customWidth="1" min="5" max="5"/>
    <col width="15" customWidth="1" min="6" max="6"/>
    <col width="14" customWidth="1" min="7" max="7"/>
    <col width="30" customWidth="1" min="8" max="8"/>
  </cols>
  <sheetData>
    <row r="1">
      <c r="A1" s="1" t="inlineStr">
        <is>
          <t>DATA RECONCILIATION — INDEPENDENT VERIFICATION OF MEMO CLAIMS &amp; DATASET COVERAGE</t>
        </is>
      </c>
    </row>
    <row r="2">
      <c r="A2" s="2" t="inlineStr">
        <is>
          <t>Tab 4 of 4: Every key operational claim in the COO engagement memo tested against the pinned data, plus plant-code coverage reconciliation across all six datasets.</t>
        </is>
      </c>
    </row>
    <row r="4">
      <c r="A4" s="4" t="inlineStr">
        <is>
          <t>SECTION 1 — VERIFICATION OF ENGAGEMENT-MEMO CLAIMS</t>
        </is>
      </c>
    </row>
    <row r="5">
      <c r="A5" s="5" t="inlineStr">
        <is>
          <t>Ref</t>
        </is>
      </c>
      <c r="B5" s="5" t="inlineStr">
        <is>
          <t>Memo claim (§2 unless noted)</t>
        </is>
      </c>
      <c r="C5" s="5" t="inlineStr">
        <is>
          <t>Test applied</t>
        </is>
      </c>
      <c r="D5" s="5" t="inlineStr">
        <is>
          <t>Result from data</t>
        </is>
      </c>
      <c r="E5" s="5" t="inlineStr">
        <is>
          <t>Verdict</t>
        </is>
      </c>
    </row>
    <row r="6" ht="58" customHeight="1">
      <c r="A6" s="6" t="inlineStr">
        <is>
          <t>R-01</t>
        </is>
      </c>
      <c r="B6" s="8" t="inlineStr">
        <is>
          <t>NovaTrans operates 19 distribution plants</t>
        </is>
      </c>
      <c r="C6" s="8" t="inlineStr">
        <is>
          <t>Count unique plant codes in WhCapacities / WhCosts / PlantPorts</t>
        </is>
      </c>
      <c r="D6" s="8" t="inlineStr">
        <is>
          <t>19 unique plants in each of the three reference files; the three sets are identical</t>
        </is>
      </c>
      <c r="E6" s="33" t="inlineStr">
        <is>
          <t>VERIFIED</t>
        </is>
      </c>
    </row>
    <row r="7" ht="58" customHeight="1">
      <c r="A7" s="6" t="inlineStr">
        <is>
          <t>R-02</t>
        </is>
      </c>
      <c r="B7" s="8" t="inlineStr">
        <is>
          <t>Network processes roughly 9,000+ shipments annually</t>
        </is>
      </c>
      <c r="C7" s="8" t="inlineStr">
        <is>
          <t>Count distinct Order_ID in OrderList.csv</t>
        </is>
      </c>
      <c r="D7" s="8" t="inlineStr">
        <is>
          <t>9,215 unique orders — count matches; however every order is dated 26-May-2013 (single operating day), so the "annual" framing rests on the memo's own caveat that files reflect different operating periods</t>
        </is>
      </c>
      <c r="E7" s="40" t="inlineStr">
        <is>
          <t>VERIFIED WITH CAVEAT</t>
        </is>
      </c>
    </row>
    <row r="8" ht="58" customHeight="1">
      <c r="A8" s="6" t="inlineStr">
        <is>
          <t>R-03</t>
        </is>
      </c>
      <c r="B8" s="8" t="inlineStr">
        <is>
          <t>Approximately 2% of all orders ship late</t>
        </is>
      </c>
      <c r="C8" s="8" t="inlineStr">
        <is>
          <t>Share of orders with Ship_Late_Day_Count &gt; 0</t>
        </is>
      </c>
      <c r="D8" s="8" t="inlineStr">
        <is>
          <t>192 of 9,215 orders = 2.08% late</t>
        </is>
      </c>
      <c r="E8" s="33" t="inlineStr">
        <is>
          <t>VERIFIED</t>
        </is>
      </c>
    </row>
    <row r="9" ht="58" customHeight="1">
      <c r="A9" s="6" t="inlineStr">
        <is>
          <t>R-04</t>
        </is>
      </c>
      <c r="B9" s="8" t="inlineStr">
        <is>
          <t>PLANT01 handles ~1,070 units/day; PLANT15 ~11 units/day ("throughput... highest-volume / lowest")</t>
        </is>
      </c>
      <c r="C9" s="8" t="inlineStr">
        <is>
          <t>Compare against WhCapacities and observed order-book volume</t>
        </is>
      </c>
      <c r="D9" s="8" t="inlineStr">
        <is>
          <t>Figures match WhCapacities Daily_Capacity exactly (1,070 and 11) — they are STATED CAPACITY, not observed throughput. Neither plant appears in the 9,215-order book at all</t>
        </is>
      </c>
      <c r="E9" s="40" t="inlineStr">
        <is>
          <t>PARTIALLY VERIFIED — capacity mischaracterised as throughput</t>
        </is>
      </c>
    </row>
    <row r="10" ht="58" customHeight="1">
      <c r="A10" s="6" t="inlineStr">
        <is>
          <t>R-05</t>
        </is>
      </c>
      <c r="B10" s="8" t="inlineStr">
        <is>
          <t>Customers served under three service levels: CRF, DTD, DTP</t>
        </is>
      </c>
      <c r="C10" s="8" t="inlineStr">
        <is>
          <t>Distinct Service_Level values in OrderList</t>
        </is>
      </c>
      <c r="D10" s="8" t="inlineStr">
        <is>
          <t>DTP 6,218 / DTD 2,143 / CRF 854 orders — all three present. Note: FreightRates.csv prices DTD and DTP only; the 854 CRF orders cannot be priced from the rate card</t>
        </is>
      </c>
      <c r="E10" s="40" t="inlineStr">
        <is>
          <t>VERIFIED WITH CAVEAT</t>
        </is>
      </c>
    </row>
    <row r="11" ht="58" customHeight="1">
      <c r="A11" s="6" t="inlineStr">
        <is>
          <t>R-06</t>
        </is>
      </c>
      <c r="B11" s="8" t="inlineStr">
        <is>
          <t>Multiple transportation modes including SEA, AIR and ROAD</t>
        </is>
      </c>
      <c r="C11" s="8" t="inlineStr">
        <is>
          <t>Distinct Mode_DSC values in FreightRates.csv</t>
        </is>
      </c>
      <c r="D11" s="8" t="inlineStr">
        <is>
          <t>Only AIR (1,511 rows) and GROUND (29 rows) exist. No SEA mode anywhere in the rate card; GROUND corresponds to ROAD</t>
        </is>
      </c>
      <c r="E11" s="34" t="inlineStr">
        <is>
          <t>NOT VERIFIED</t>
        </is>
      </c>
    </row>
    <row r="12" ht="58" customHeight="1">
      <c r="A12" s="6" t="inlineStr">
        <is>
          <t>R-07</t>
        </is>
      </c>
      <c r="B12" s="8" t="inlineStr">
        <is>
          <t>AIR exhibits significantly higher per-unit costs than SEA and ROAD</t>
        </is>
      </c>
      <c r="C12" s="8" t="inlineStr">
        <is>
          <t>Like-for-like comparison, same lane / service / weight slab (PORT03→PORT09, DTD, 100 weight units)</t>
        </is>
      </c>
      <c r="D12" s="8" t="inlineStr">
        <is>
          <t>AIR: $0.31–$0.71 per unit; GROUND: $7.47–$132.28 per unit. On the only lanes where both modes are quoted, AIR is the CHEAPER mode — the memo's cost-driver hypothesis is contradicted by the pinned rate card</t>
        </is>
      </c>
      <c r="E12" s="34" t="inlineStr">
        <is>
          <t>NOT SUPPORTED</t>
        </is>
      </c>
    </row>
    <row r="13" ht="58" customHeight="1">
      <c r="A13" s="6" t="inlineStr">
        <is>
          <t>R-08</t>
        </is>
      </c>
      <c r="B13" s="8" t="inlineStr">
        <is>
          <t>WhCosts.csv includes fixed AND variable cost components per plant (§4)</t>
        </is>
      </c>
      <c r="C13" s="8" t="inlineStr">
        <is>
          <t>Inspect file structure</t>
        </is>
      </c>
      <c r="D13" s="8" t="inlineStr">
        <is>
          <t>File contains a single column, Cost_Per_Unit. No fixed-cost field exists anywhere in the pinned data, so closure fixed-cost release is unquantifiable</t>
        </is>
      </c>
      <c r="E13" s="34" t="inlineStr">
        <is>
          <t>NOT VERIFIED — data gap</t>
        </is>
      </c>
    </row>
    <row r="14" ht="58" customHeight="1">
      <c r="A14" s="6" t="inlineStr">
        <is>
          <t>R-09</t>
        </is>
      </c>
      <c r="B14" s="8" t="inlineStr">
        <is>
          <t>Significant cost-efficiency differences between carrier-route combinations</t>
        </is>
      </c>
      <c r="C14" s="8" t="inlineStr">
        <is>
          <t>Compare rates across lanes and carriers</t>
        </is>
      </c>
      <c r="D14" s="8" t="inlineStr">
        <is>
          <t>Confirmed: e.g. least DTP rate PORT04→PORT09 $0.0424 vs PORT07→PORT09 $0.1448 (3.4×); 9 carriers across 10 origin lanes to PORT09</t>
        </is>
      </c>
      <c r="E14" s="33" t="inlineStr">
        <is>
          <t>SUPPORTED</t>
        </is>
      </c>
    </row>
    <row r="15" ht="58" customHeight="1">
      <c r="A15" s="6" t="inlineStr">
        <is>
          <t>R-10</t>
        </is>
      </c>
      <c r="B15" s="8" t="inlineStr">
        <is>
          <t>ERP captures origin/destination plant codes, dates, carrier assignments, freight costs, warehouse throughput metrics</t>
        </is>
      </c>
      <c r="C15" s="8" t="inlineStr">
        <is>
          <t>Field-level check of OrderList.csv</t>
        </is>
      </c>
      <c r="D15" s="8" t="inlineStr">
        <is>
          <t>Origin plant, dates, carriers present. No freight-cost field and no warehouse throughput field exist in the order extract; freight must be derived from the rate card</t>
        </is>
      </c>
      <c r="E15" s="40" t="inlineStr">
        <is>
          <t>PARTIALLY VERIFIED</t>
        </is>
      </c>
    </row>
    <row r="16" ht="58" customHeight="1">
      <c r="A16" s="6" t="inlineStr">
        <is>
          <t>R-11</t>
        </is>
      </c>
      <c r="B16" s="8" t="inlineStr">
        <is>
          <t>Q4 2023 survey and complaint log provide service context (§4)</t>
        </is>
      </c>
      <c r="C16" s="8" t="inlineStr">
        <is>
          <t>Load Customer_Satisfaction_Survey_Q4.xlsx</t>
        </is>
      </c>
      <c r="D16" s="8" t="inlineStr">
        <is>
          <t>50 survey responses + 18 complaints across 7 plants (PLANT03/04/08/09/12/13/16), Oct–Dec 2023</t>
        </is>
      </c>
      <c r="E16" s="33" t="inlineStr">
        <is>
          <t>VERIFIED</t>
        </is>
      </c>
    </row>
    <row r="17" ht="58" customHeight="1">
      <c r="A17" s="6" t="inlineStr">
        <is>
          <t>R-12</t>
        </is>
      </c>
      <c r="B17" s="8" t="inlineStr">
        <is>
          <t>Plant-port mapping used for DTP and CRF routing (§4)</t>
        </is>
      </c>
      <c r="C17" s="8" t="inlineStr">
        <is>
          <t>Cross-check order Orig_Port against PlantPorts.csv</t>
        </is>
      </c>
      <c r="D17" s="8" t="inlineStr">
        <is>
          <t>All 7 order-active plants ship from exactly the port(s) PlantPorts assigns (PLANT03/08/09/12/13→PORT04, PLANT04→PORT05, PLANT16→PORT09); 100% consistency</t>
        </is>
      </c>
      <c r="E17" s="33" t="inlineStr">
        <is>
          <t>VERIFIED</t>
        </is>
      </c>
    </row>
    <row r="19">
      <c r="A19" s="4" t="inlineStr">
        <is>
          <t>SECTION 2 — PLANT-CODE COVERAGE RECONCILIATION ACROSS ALL DATASETS</t>
        </is>
      </c>
    </row>
    <row r="20">
      <c r="A20" s="5" t="inlineStr">
        <is>
          <t>Plant</t>
        </is>
      </c>
      <c r="B20" s="5" t="inlineStr">
        <is>
          <t>WhCapacities</t>
        </is>
      </c>
      <c r="C20" s="5" t="inlineStr">
        <is>
          <t>WhCosts</t>
        </is>
      </c>
      <c r="D20" s="5" t="inlineStr">
        <is>
          <t>PlantPorts</t>
        </is>
      </c>
      <c r="E20" s="5" t="inlineStr">
        <is>
          <t>OrderList (orders)</t>
        </is>
      </c>
      <c r="F20" s="5" t="inlineStr">
        <is>
          <t>Survey responses</t>
        </is>
      </c>
      <c r="G20" s="5" t="inlineStr">
        <is>
          <t>Complaints</t>
        </is>
      </c>
      <c r="H20" s="5" t="inlineStr">
        <is>
          <t>Coverage status</t>
        </is>
      </c>
    </row>
    <row r="21">
      <c r="A21" s="20" t="inlineStr">
        <is>
          <t>PLANT01</t>
        </is>
      </c>
      <c r="B21" s="41" t="inlineStr">
        <is>
          <t>✓</t>
        </is>
      </c>
      <c r="C21" s="41" t="inlineStr">
        <is>
          <t>✓</t>
        </is>
      </c>
      <c r="D21" s="41" t="inlineStr">
        <is>
          <t>✓</t>
        </is>
      </c>
      <c r="E21" s="14" t="inlineStr">
        <is>
          <t>—</t>
        </is>
      </c>
      <c r="F21" s="14" t="inlineStr">
        <is>
          <t>—</t>
        </is>
      </c>
      <c r="G21" s="14" t="inlineStr">
        <is>
          <t>—</t>
        </is>
      </c>
      <c r="H21" s="42" t="inlineStr">
        <is>
          <t>No shipment / customer data — scoring uses reference data only</t>
        </is>
      </c>
    </row>
    <row r="22">
      <c r="A22" s="20" t="inlineStr">
        <is>
          <t>PLANT02</t>
        </is>
      </c>
      <c r="B22" s="41" t="inlineStr">
        <is>
          <t>✓</t>
        </is>
      </c>
      <c r="C22" s="41" t="inlineStr">
        <is>
          <t>✓</t>
        </is>
      </c>
      <c r="D22" s="41" t="inlineStr">
        <is>
          <t>✓</t>
        </is>
      </c>
      <c r="E22" s="14" t="inlineStr">
        <is>
          <t>—</t>
        </is>
      </c>
      <c r="F22" s="14" t="inlineStr">
        <is>
          <t>—</t>
        </is>
      </c>
      <c r="G22" s="14" t="inlineStr">
        <is>
          <t>—</t>
        </is>
      </c>
      <c r="H22" s="42" t="inlineStr">
        <is>
          <t>No shipment / customer data — scoring uses reference data only</t>
        </is>
      </c>
    </row>
    <row r="23">
      <c r="A23" s="20" t="inlineStr">
        <is>
          <t>PLANT03</t>
        </is>
      </c>
      <c r="B23" s="41" t="inlineStr">
        <is>
          <t>✓</t>
        </is>
      </c>
      <c r="C23" s="41" t="inlineStr">
        <is>
          <t>✓</t>
        </is>
      </c>
      <c r="D23" s="41" t="inlineStr">
        <is>
          <t>✓</t>
        </is>
      </c>
      <c r="E23" s="20" t="n">
        <v>8541</v>
      </c>
      <c r="F23" s="20" t="n">
        <v>12</v>
      </c>
      <c r="G23" s="20" t="n">
        <v>5</v>
      </c>
      <c r="H23" s="43" t="inlineStr">
        <is>
          <t>Fully observed across all datasets</t>
        </is>
      </c>
    </row>
    <row r="24">
      <c r="A24" s="20" t="inlineStr">
        <is>
          <t>PLANT04</t>
        </is>
      </c>
      <c r="B24" s="41" t="inlineStr">
        <is>
          <t>✓</t>
        </is>
      </c>
      <c r="C24" s="41" t="inlineStr">
        <is>
          <t>✓</t>
        </is>
      </c>
      <c r="D24" s="41" t="inlineStr">
        <is>
          <t>✓</t>
        </is>
      </c>
      <c r="E24" s="20" t="inlineStr">
        <is>
          <t>✓</t>
        </is>
      </c>
      <c r="F24" s="20" t="n">
        <v>5</v>
      </c>
      <c r="G24" s="20" t="inlineStr">
        <is>
          <t>✓</t>
        </is>
      </c>
      <c r="H24" s="43" t="inlineStr">
        <is>
          <t>Fully observed across all datasets</t>
        </is>
      </c>
    </row>
    <row r="25">
      <c r="A25" s="20" t="inlineStr">
        <is>
          <t>PLANT05</t>
        </is>
      </c>
      <c r="B25" s="41" t="inlineStr">
        <is>
          <t>✓</t>
        </is>
      </c>
      <c r="C25" s="41" t="inlineStr">
        <is>
          <t>✓</t>
        </is>
      </c>
      <c r="D25" s="41" t="inlineStr">
        <is>
          <t>✓</t>
        </is>
      </c>
      <c r="E25" s="14" t="inlineStr">
        <is>
          <t>—</t>
        </is>
      </c>
      <c r="F25" s="14" t="inlineStr">
        <is>
          <t>—</t>
        </is>
      </c>
      <c r="G25" s="14" t="inlineStr">
        <is>
          <t>—</t>
        </is>
      </c>
      <c r="H25" s="42" t="inlineStr">
        <is>
          <t>No shipment / customer data — scoring uses reference data only</t>
        </is>
      </c>
    </row>
    <row r="26">
      <c r="A26" s="20" t="inlineStr">
        <is>
          <t>PLANT06</t>
        </is>
      </c>
      <c r="B26" s="41" t="inlineStr">
        <is>
          <t>✓</t>
        </is>
      </c>
      <c r="C26" s="41" t="inlineStr">
        <is>
          <t>✓</t>
        </is>
      </c>
      <c r="D26" s="41" t="inlineStr">
        <is>
          <t>✓</t>
        </is>
      </c>
      <c r="E26" s="14" t="inlineStr">
        <is>
          <t>—</t>
        </is>
      </c>
      <c r="F26" s="14" t="inlineStr">
        <is>
          <t>—</t>
        </is>
      </c>
      <c r="G26" s="14" t="inlineStr">
        <is>
          <t>—</t>
        </is>
      </c>
      <c r="H26" s="42" t="inlineStr">
        <is>
          <t>No shipment / customer data — scoring uses reference data only</t>
        </is>
      </c>
    </row>
    <row r="27">
      <c r="A27" s="20" t="inlineStr">
        <is>
          <t>PLANT07</t>
        </is>
      </c>
      <c r="B27" s="41" t="inlineStr">
        <is>
          <t>✓</t>
        </is>
      </c>
      <c r="C27" s="41" t="inlineStr">
        <is>
          <t>✓</t>
        </is>
      </c>
      <c r="D27" s="41" t="inlineStr">
        <is>
          <t>✓</t>
        </is>
      </c>
      <c r="E27" s="14" t="inlineStr">
        <is>
          <t>—</t>
        </is>
      </c>
      <c r="F27" s="14" t="inlineStr">
        <is>
          <t>—</t>
        </is>
      </c>
      <c r="G27" s="14" t="inlineStr">
        <is>
          <t>—</t>
        </is>
      </c>
      <c r="H27" s="42" t="inlineStr">
        <is>
          <t>No shipment / customer data — scoring uses reference data only</t>
        </is>
      </c>
    </row>
    <row r="28">
      <c r="A28" s="20" t="inlineStr">
        <is>
          <t>PLANT08</t>
        </is>
      </c>
      <c r="B28" s="41" t="inlineStr">
        <is>
          <t>✓</t>
        </is>
      </c>
      <c r="C28" s="41" t="inlineStr">
        <is>
          <t>✓</t>
        </is>
      </c>
      <c r="D28" s="41" t="inlineStr">
        <is>
          <t>✓</t>
        </is>
      </c>
      <c r="E28" s="20" t="n">
        <v>102</v>
      </c>
      <c r="F28" s="20" t="n">
        <v>8</v>
      </c>
      <c r="G28" s="20" t="n">
        <v>3</v>
      </c>
      <c r="H28" s="43" t="inlineStr">
        <is>
          <t>Fully observed across all datasets</t>
        </is>
      </c>
    </row>
    <row r="29">
      <c r="A29" s="20" t="inlineStr">
        <is>
          <t>PLANT09</t>
        </is>
      </c>
      <c r="B29" s="41" t="inlineStr">
        <is>
          <t>✓</t>
        </is>
      </c>
      <c r="C29" s="41" t="inlineStr">
        <is>
          <t>✓</t>
        </is>
      </c>
      <c r="D29" s="41" t="inlineStr">
        <is>
          <t>✓</t>
        </is>
      </c>
      <c r="E29" s="20" t="n">
        <v>12</v>
      </c>
      <c r="F29" s="20" t="n">
        <v>8</v>
      </c>
      <c r="G29" s="20" t="n">
        <v>3</v>
      </c>
      <c r="H29" s="43" t="inlineStr">
        <is>
          <t>Fully observed across all datasets</t>
        </is>
      </c>
    </row>
    <row r="30">
      <c r="A30" s="20" t="inlineStr">
        <is>
          <t>PLANT10</t>
        </is>
      </c>
      <c r="B30" s="41" t="inlineStr">
        <is>
          <t>✓</t>
        </is>
      </c>
      <c r="C30" s="41" t="inlineStr">
        <is>
          <t>✓</t>
        </is>
      </c>
      <c r="D30" s="41" t="inlineStr">
        <is>
          <t>✓</t>
        </is>
      </c>
      <c r="E30" s="14" t="inlineStr">
        <is>
          <t>—</t>
        </is>
      </c>
      <c r="F30" s="14" t="inlineStr">
        <is>
          <t>—</t>
        </is>
      </c>
      <c r="G30" s="14" t="inlineStr">
        <is>
          <t>—</t>
        </is>
      </c>
      <c r="H30" s="42" t="inlineStr">
        <is>
          <t>No shipment / customer data — scoring uses reference data only</t>
        </is>
      </c>
    </row>
    <row r="31">
      <c r="A31" s="20" t="inlineStr">
        <is>
          <t>PLANT11</t>
        </is>
      </c>
      <c r="B31" s="41" t="inlineStr">
        <is>
          <t>✓</t>
        </is>
      </c>
      <c r="C31" s="41" t="inlineStr">
        <is>
          <t>✓</t>
        </is>
      </c>
      <c r="D31" s="41" t="inlineStr">
        <is>
          <t>✓</t>
        </is>
      </c>
      <c r="E31" s="14" t="inlineStr">
        <is>
          <t>—</t>
        </is>
      </c>
      <c r="F31" s="14" t="inlineStr">
        <is>
          <t>—</t>
        </is>
      </c>
      <c r="G31" s="14" t="inlineStr">
        <is>
          <t>—</t>
        </is>
      </c>
      <c r="H31" s="42" t="inlineStr">
        <is>
          <t>No shipment / customer data — scoring uses reference data only</t>
        </is>
      </c>
    </row>
    <row r="32">
      <c r="A32" s="20" t="inlineStr">
        <is>
          <t>PLANT12</t>
        </is>
      </c>
      <c r="B32" s="41" t="inlineStr">
        <is>
          <t>✓</t>
        </is>
      </c>
      <c r="C32" s="41" t="inlineStr">
        <is>
          <t>✓</t>
        </is>
      </c>
      <c r="D32" s="41" t="inlineStr">
        <is>
          <t>✓</t>
        </is>
      </c>
      <c r="E32" s="20" t="n">
        <v>300</v>
      </c>
      <c r="F32" s="20" t="n">
        <v>7</v>
      </c>
      <c r="G32" s="20" t="n">
        <v>2</v>
      </c>
      <c r="H32" s="43" t="inlineStr">
        <is>
          <t>Fully observed across all datasets</t>
        </is>
      </c>
    </row>
    <row r="33">
      <c r="A33" s="20" t="inlineStr">
        <is>
          <t>PLANT13</t>
        </is>
      </c>
      <c r="B33" s="41" t="inlineStr">
        <is>
          <t>✓</t>
        </is>
      </c>
      <c r="C33" s="41" t="inlineStr">
        <is>
          <t>✓</t>
        </is>
      </c>
      <c r="D33" s="41" t="inlineStr">
        <is>
          <t>✓</t>
        </is>
      </c>
      <c r="E33" s="20" t="n">
        <v>86</v>
      </c>
      <c r="F33" s="20" t="n">
        <v>5</v>
      </c>
      <c r="G33" s="20" t="n">
        <v>2</v>
      </c>
      <c r="H33" s="43" t="inlineStr">
        <is>
          <t>Fully observed across all datasets</t>
        </is>
      </c>
    </row>
    <row r="34">
      <c r="A34" s="20" t="inlineStr">
        <is>
          <t>PLANT14</t>
        </is>
      </c>
      <c r="B34" s="41" t="inlineStr">
        <is>
          <t>✓</t>
        </is>
      </c>
      <c r="C34" s="41" t="inlineStr">
        <is>
          <t>✓</t>
        </is>
      </c>
      <c r="D34" s="41" t="inlineStr">
        <is>
          <t>✓</t>
        </is>
      </c>
      <c r="E34" s="14" t="inlineStr">
        <is>
          <t>—</t>
        </is>
      </c>
      <c r="F34" s="14" t="inlineStr">
        <is>
          <t>—</t>
        </is>
      </c>
      <c r="G34" s="14" t="inlineStr">
        <is>
          <t>—</t>
        </is>
      </c>
      <c r="H34" s="42" t="inlineStr">
        <is>
          <t>No shipment / customer data — scoring uses reference data only</t>
        </is>
      </c>
    </row>
    <row r="35">
      <c r="A35" s="20" t="inlineStr">
        <is>
          <t>PLANT15</t>
        </is>
      </c>
      <c r="B35" s="41" t="inlineStr">
        <is>
          <t>✓</t>
        </is>
      </c>
      <c r="C35" s="41" t="inlineStr">
        <is>
          <t>✓</t>
        </is>
      </c>
      <c r="D35" s="41" t="inlineStr">
        <is>
          <t>✓</t>
        </is>
      </c>
      <c r="E35" s="14" t="inlineStr">
        <is>
          <t>—</t>
        </is>
      </c>
      <c r="F35" s="14" t="inlineStr">
        <is>
          <t>—</t>
        </is>
      </c>
      <c r="G35" s="14" t="inlineStr">
        <is>
          <t>—</t>
        </is>
      </c>
      <c r="H35" s="42" t="inlineStr">
        <is>
          <t>No shipment / customer data — scoring uses reference data only</t>
        </is>
      </c>
    </row>
    <row r="36">
      <c r="A36" s="20" t="inlineStr">
        <is>
          <t>PLANT16</t>
        </is>
      </c>
      <c r="B36" s="41" t="inlineStr">
        <is>
          <t>✓</t>
        </is>
      </c>
      <c r="C36" s="41" t="inlineStr">
        <is>
          <t>✓</t>
        </is>
      </c>
      <c r="D36" s="41" t="inlineStr">
        <is>
          <t>✓</t>
        </is>
      </c>
      <c r="E36" s="20" t="n">
        <v>173</v>
      </c>
      <c r="F36" s="20" t="n">
        <v>5</v>
      </c>
      <c r="G36" s="20" t="n">
        <v>2</v>
      </c>
      <c r="H36" s="43" t="inlineStr">
        <is>
          <t>Fully observed across all datasets</t>
        </is>
      </c>
    </row>
    <row r="37">
      <c r="A37" s="20" t="inlineStr">
        <is>
          <t>PLANT17</t>
        </is>
      </c>
      <c r="B37" s="41" t="inlineStr">
        <is>
          <t>✓</t>
        </is>
      </c>
      <c r="C37" s="41" t="inlineStr">
        <is>
          <t>✓</t>
        </is>
      </c>
      <c r="D37" s="41" t="inlineStr">
        <is>
          <t>✓</t>
        </is>
      </c>
      <c r="E37" s="14" t="inlineStr">
        <is>
          <t>—</t>
        </is>
      </c>
      <c r="F37" s="14" t="inlineStr">
        <is>
          <t>—</t>
        </is>
      </c>
      <c r="G37" s="14" t="inlineStr">
        <is>
          <t>—</t>
        </is>
      </c>
      <c r="H37" s="42" t="inlineStr">
        <is>
          <t>No shipment / customer data — scoring uses reference data only</t>
        </is>
      </c>
    </row>
    <row r="38">
      <c r="A38" s="20" t="inlineStr">
        <is>
          <t>PLANT18</t>
        </is>
      </c>
      <c r="B38" s="41" t="inlineStr">
        <is>
          <t>✓</t>
        </is>
      </c>
      <c r="C38" s="41" t="inlineStr">
        <is>
          <t>✓</t>
        </is>
      </c>
      <c r="D38" s="41" t="inlineStr">
        <is>
          <t>✓</t>
        </is>
      </c>
      <c r="E38" s="14" t="inlineStr">
        <is>
          <t>—</t>
        </is>
      </c>
      <c r="F38" s="14" t="inlineStr">
        <is>
          <t>—</t>
        </is>
      </c>
      <c r="G38" s="14" t="inlineStr">
        <is>
          <t>—</t>
        </is>
      </c>
      <c r="H38" s="42" t="inlineStr">
        <is>
          <t>No shipment / customer data — scoring uses reference data only</t>
        </is>
      </c>
    </row>
    <row r="39">
      <c r="A39" s="20" t="inlineStr">
        <is>
          <t>PLANT19</t>
        </is>
      </c>
      <c r="B39" s="41" t="inlineStr">
        <is>
          <t>✓</t>
        </is>
      </c>
      <c r="C39" s="41" t="inlineStr">
        <is>
          <t>✓</t>
        </is>
      </c>
      <c r="D39" s="41" t="inlineStr">
        <is>
          <t>✓</t>
        </is>
      </c>
      <c r="E39" s="14" t="inlineStr">
        <is>
          <t>—</t>
        </is>
      </c>
      <c r="F39" s="14" t="inlineStr">
        <is>
          <t>—</t>
        </is>
      </c>
      <c r="G39" s="14" t="inlineStr">
        <is>
          <t>—</t>
        </is>
      </c>
      <c r="H39" s="42" t="inlineStr">
        <is>
          <t>No shipment / customer data — scoring uses reference data only</t>
        </is>
      </c>
    </row>
    <row r="40">
      <c r="A40" s="26" t="inlineStr">
        <is>
          <t>Totals</t>
        </is>
      </c>
      <c r="B40" s="44" t="n"/>
      <c r="C40" s="44" t="n"/>
      <c r="D40" s="26" t="inlineStr">
        <is>
          <t>19 / 19</t>
        </is>
      </c>
      <c r="E40" s="26" t="inlineStr">
        <is>
          <t>7 / 19 plants covered (9,215 orders)</t>
        </is>
      </c>
      <c r="F40" s="26" t="inlineStr">
        <is>
          <t>7 / 19 (50 responses)</t>
        </is>
      </c>
      <c r="G40" s="26" t="inlineStr">
        <is>
          <t>7 / 19 (18 complaints)</t>
        </is>
      </c>
      <c r="H40" s="44" t="n"/>
    </row>
    <row r="42">
      <c r="A42" s="4" t="inlineStr">
        <is>
          <t>SECTION 3 — DATA-INTEGRITY FLAGS AFFECTING THE CONSOLIDATION MODEL</t>
        </is>
      </c>
    </row>
    <row r="43" ht="30" customHeight="1">
      <c r="A43" s="45" t="inlineStr">
        <is>
          <t>R-13</t>
        </is>
      </c>
      <c r="B43" s="46" t="inlineStr">
        <is>
          <t>Unit-scale inconsistency: total observed units (29.5M) vs total stated daily capacity (5,791 units/day) implies ≈5,096× stated capacity processed in the order book. Utilization percentages are therefore not computable at face value; the model uses relative shares and order-count uplift instead.</t>
        </is>
      </c>
    </row>
    <row r="44" ht="30" customHeight="1">
      <c r="A44" s="45" t="inlineStr">
        <is>
          <t>R-14</t>
        </is>
      </c>
      <c r="B44" s="46" t="inlineStr">
        <is>
          <t>Single-day order book: all 9,215 orders are dated 26-May-2013. Period-based economics (per-year savings) assume this day is representative, consistent with the memo's "9,000+ shipments" framing.</t>
        </is>
      </c>
    </row>
    <row r="45" ht="30" customHeight="1">
      <c r="A45" s="45" t="inlineStr">
        <is>
          <t>R-15</t>
        </is>
      </c>
      <c r="B45" s="46" t="inlineStr">
        <is>
          <t>Carrier gap: order carrier V44_3 (854 CRF orders, 9.3% of the book) does not appear in FreightRates.csv; CRF service is absent from the rate card entirely.</t>
        </is>
      </c>
    </row>
    <row r="46" ht="30" customHeight="1">
      <c r="A46" s="45" t="inlineStr">
        <is>
          <t>R-16</t>
        </is>
      </c>
      <c r="B46" s="46" t="inlineStr">
        <is>
          <t>PORT01→PORT09 has no rate card even though PLANT01/07/10 list PORT01 access — those plants must ship via PORT02 (rate card available).</t>
        </is>
      </c>
    </row>
    <row r="47" ht="30" customHeight="1">
      <c r="A47" s="45" t="inlineStr">
        <is>
          <t>R-17</t>
        </is>
      </c>
      <c r="B47" s="46" t="inlineStr">
        <is>
          <t>All 1,540 rate-card rows terminate at PORT09: the pinned rate structure is a single-destination network, consistent with OrderList (Dest_Port = PORT09 on 100% of orders).</t>
        </is>
      </c>
    </row>
    <row r="49">
      <c r="A49" s="2" t="inlineStr">
        <is>
          <t>Reconciliation method: each claim was tested independently against the pinned files by the consulting team; no figures were taken from the memo without a source check. Verdicts — VERIFIED (green), PARTIALLY VERIFIED / VERIFIED WITH CAVEAT (amber), NOT VERIFIED / NOT SUPPORTED (red).</t>
        </is>
      </c>
    </row>
  </sheetData>
  <mergeCells count="6">
    <mergeCell ref="B44:H44"/>
    <mergeCell ref="B43:H43"/>
    <mergeCell ref="B47:H47"/>
    <mergeCell ref="A49:H49"/>
    <mergeCell ref="B45:H45"/>
    <mergeCell ref="B46:H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2026-10-19T14:35:43Z</dcterms:created>
  <dcterms:modified xmlns:dcterms="http://purl.org/dc/terms/" xmlns:xsi="http://www.w3.org/2001/XMLSchema-instance" xsi:type="dcterms:W3CDTF">2026-10-19T14:35:54Z</dcterms:modified>
</cp:coreProperties>
</file>