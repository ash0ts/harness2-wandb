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t Scorecard" sheetId="1" r:id="rId1"/>
    <sheet name="Trend Diagnostics" sheetId="2" r:id="rId2"/>
    <sheet name="Industry Benchmark" sheetId="3" r:id="rId3"/>
    <sheet name="Complaint-Production Crossref" sheetId="4" r:id="rId4"/>
    <sheet name="Equipment Risk Matrix" sheetId="5" r:id="rId5"/>
  </sheets>
  <calcPr calcId="124519" fullCalcOnLoad="1"/>
</workbook>
</file>

<file path=xl/sharedStrings.xml><?xml version="1.0" encoding="utf-8"?>
<sst xmlns="http://schemas.openxmlformats.org/spreadsheetml/2006/main" count="453" uniqueCount="214">
  <si>
    <t>MERIDIAN ADVANCED MANUFACTURING INC. — PLANT SCORECARD</t>
  </si>
  <si>
    <t>Q1–Q2 2024 (January–June) | Composite operational health ranking | Source: Meridian_Plant_Operations_Q1Q2_2024.xlsx</t>
  </si>
  <si>
    <t>Plant (ranked by composite health)</t>
  </si>
  <si>
    <t>Rank</t>
  </si>
  <si>
    <t>CompositeScore</t>
  </si>
  <si>
    <t>OEE %</t>
  </si>
  <si>
    <t>Defect Rate per 1,000 Units</t>
  </si>
  <si>
    <t>Avg On-Time Delivery %</t>
  </si>
  <si>
    <t>Unplanned Downtime % of Total Hours</t>
  </si>
  <si>
    <t>Cost per Unit ($ Mat+Labor)</t>
  </si>
  <si>
    <t>Nashville TN</t>
  </si>
  <si>
    <t>Columbus OH</t>
  </si>
  <si>
    <t>Portland OR</t>
  </si>
  <si>
    <t>Phoenix AZ</t>
  </si>
  <si>
    <t>Plant</t>
  </si>
  <si>
    <t>Volume (units)</t>
  </si>
  <si>
    <t>Target (units)</t>
  </si>
  <si>
    <t>Target Attainment %</t>
  </si>
  <si>
    <t>Availability %</t>
  </si>
  <si>
    <t>Performance %</t>
  </si>
  <si>
    <t>Quality %</t>
  </si>
  <si>
    <t>Capacity Utilization % (hours-based)</t>
  </si>
  <si>
    <t>Material $/unit</t>
  </si>
  <si>
    <t>Labor $/unit</t>
  </si>
  <si>
    <t>Avg Hourly Labor $ (Lab$/Actual hrs)</t>
  </si>
  <si>
    <t>Maintenance Cost H1 ($)</t>
  </si>
  <si>
    <t>Methodology:</t>
  </si>
  <si>
    <t>• OEE = Availability × Performance × Quality. Availability = (Planned Output Hrs − Unplanned Downtime Hrs) / Planned Output Hrs.</t>
  </si>
  <si>
    <t>• Performance = (units per actual output hour) ÷ (target units per planned output hour). Quality = (volume − defects) / volume.</t>
  </si>
  <si>
    <t>• Defect rate = total defects ÷ volume × 1,000. OTD % = unweighted mean of the 18 monthly plant×product-line OTD readings.</t>
  </si>
  <si>
    <t>• Downtime share = unplanned downtime hrs ÷ (actual output hrs + unplanned + planned downtime hrs).</t>
  </si>
  <si>
    <t>• Cost per unit = (raw material + labor cost) ÷ volume. Composite health = sum of cross-plant ranks (1=best) on the five scorecard metrics; lower is better.</t>
  </si>
  <si>
    <t>• Capacity utilization = actual output hrs ÷ planned output hrs (hours-based).</t>
  </si>
  <si>
    <t>TREND DIAGNOSTICS — PLANT × PRODUCT LINE WATCH ITEMS</t>
  </si>
  <si>
    <t>A combination is a Watch Item when ≥2 of the three metrics (defect rate, OTD %, target attainment) are deteriorating:</t>
  </si>
  <si>
    <t>a metric is deteriorating when its 6-month OLS slope is adverse AND the majority (≥3 of 5) of month-over-month transitions moved adversely.</t>
  </si>
  <si>
    <t>Product Line</t>
  </si>
  <si>
    <t>Jan Def/1,000</t>
  </si>
  <si>
    <t>Jun Def/1,000</t>
  </si>
  <si>
    <t>Jan OTD %</t>
  </si>
  <si>
    <t>Jun OTD %</t>
  </si>
  <si>
    <t>Jun Target Attain %</t>
  </si>
  <si>
    <t>Slope Def/1,000 per mo</t>
  </si>
  <si>
    <t>Slope OTD pp/mo</t>
  </si>
  <si>
    <t>Slope Target Attain pp/mo</t>
  </si>
  <si>
    <t>MoM worsen (Def)</t>
  </si>
  <si>
    <t>MoM worsen (OTD)</t>
  </si>
  <si>
    <t>MoM worsen (Tgt)</t>
  </si>
  <si>
    <t>Deteriorating metrics</t>
  </si>
  <si>
    <t>WATCH ITEM</t>
  </si>
  <si>
    <t>Precision Components</t>
  </si>
  <si>
    <t>YES</t>
  </si>
  <si>
    <t>Assembly Modules</t>
  </si>
  <si>
    <t>Custom Fabrication</t>
  </si>
  <si>
    <t>No</t>
  </si>
  <si>
    <t>PLANT-LEVEL AGGREGATE 6-MONTH TREND SLOPES (Jan–Jun 2024, OLS per month)</t>
  </si>
  <si>
    <t>Plant_Name</t>
  </si>
  <si>
    <t>Defect Rate slope (per 1,000 / month)</t>
  </si>
  <si>
    <t>OTD slope (pp / month)</t>
  </si>
  <si>
    <t>Defect trend</t>
  </si>
  <si>
    <t>OTD trend</t>
  </si>
  <si>
    <t>WORSENING</t>
  </si>
  <si>
    <t>Flat</t>
  </si>
  <si>
    <t>Improving</t>
  </si>
  <si>
    <t>REFERENCE — MONTHLY AGGREGATE SERIES BY PLANT</t>
  </si>
  <si>
    <t>Defect rate per 1,000</t>
  </si>
  <si>
    <t>Jan-2024</t>
  </si>
  <si>
    <t>Feb-2024</t>
  </si>
  <si>
    <t>Mar-2024</t>
  </si>
  <si>
    <t>Apr-2024</t>
  </si>
  <si>
    <t>May-2024</t>
  </si>
  <si>
    <t>Jun-2024</t>
  </si>
  <si>
    <t>On-time delivery %</t>
  </si>
  <si>
    <t>Note: Portland shows the steepest deterioration in the network (defects +3.11 per 1,000 per month; OTD −1.32 pp/month) and holds 3 of the 5 watch items.</t>
  </si>
  <si>
    <t>Phoenix product-line defect rates remain the highest in absolute terms (43–68 per 1,000) even where trends are improving.</t>
  </si>
  <si>
    <t>INDUSTRY BENCHMARK — CAPACITY UTILIZATION, DEFECTS, DOWNTIME</t>
  </si>
  <si>
    <t>External references: FRED MCUMFN (U.S. manufacturing capacity utilization, Jan–Jun 2024); industry defect benchmarking dataset (n=3,240).</t>
  </si>
  <si>
    <t>A. FRED MCUMFN — U.S. MANUFACTURING CAPACITY UTILIZATION, JAN–JUN 2024</t>
  </si>
  <si>
    <t>Month</t>
  </si>
  <si>
    <t>MCUMFN</t>
  </si>
  <si>
    <t>H1 2024 Average</t>
  </si>
  <si>
    <t>B. MERIDIAN PLANT CAPACITY UTILIZATION vs NATIONAL AVERAGE</t>
  </si>
  <si>
    <t>Plant Utilization % (hours-based)</t>
  </si>
  <si>
    <t>Gap vs FRED H1 avg (pp)</t>
  </si>
  <si>
    <t>FRED U.S. Mfg Avg %</t>
  </si>
  <si>
    <t>Assessment</t>
  </si>
  <si>
    <t>Substantially above national average</t>
  </si>
  <si>
    <t>C. DEFECT RATE POSITIONING vs INDUSTRY DISTRIBUTION</t>
  </si>
  <si>
    <t>Industry DefectRate is expressed in % of units; converted to per-1,000 units (×10) to match Meridian metric. Industry n=3,240 records.</t>
  </si>
  <si>
    <t>Plant Defects per 1,000</t>
  </si>
  <si>
    <t>Industry 25th pct (per 1,000)</t>
  </si>
  <si>
    <t>Industry 50th pct (per 1,000)</t>
  </si>
  <si>
    <t>Industry 75th pct (per 1,000)</t>
  </si>
  <si>
    <t>Position in industry distribution</t>
  </si>
  <si>
    <t>Bottom quartile (worst)</t>
  </si>
  <si>
    <t>2nd quartile</t>
  </si>
  <si>
    <t>D. UNPLANNED DOWNTIME POSITIONING vs INDUSTRY DISTRIBUTION (DowntimePercentage, % of time)</t>
  </si>
  <si>
    <t>Plant Unplanned Downtime %</t>
  </si>
  <si>
    <t>Industry 25th pct (%)</t>
  </si>
  <si>
    <t>Industry 50th pct (%)</t>
  </si>
  <si>
    <t>Industry 75th pct (%)</t>
  </si>
  <si>
    <t>3rd quartile</t>
  </si>
  <si>
    <t>Key finding: every Meridian plant operates well above the national manufacturing utilization average (75.8%); Nashville is effectively full (99.6%). All plants sit in the bottom industry quartile for defect rate except Nashville; Columbus, Portland also sit in the bottom quartile for unplanned downtime.</t>
  </si>
  <si>
    <t>COMPLAINT–PRODUCTION CROSS-REFERENCE (PLANT × MONTH)</t>
  </si>
  <si>
    <t>Source: Meridian_Customer_Complaints_Q1Q2_2024.csv joined to production data on plant and month. Severity weights: Critical=4, High=3, Medium=2, Low=1.</t>
  </si>
  <si>
    <t>Unplanned Downtime (hrs)</t>
  </si>
  <si>
    <t>Defects</t>
  </si>
  <si>
    <t>Complaints</t>
  </si>
  <si>
    <t>Avg Severity (1–4)</t>
  </si>
  <si>
    <t>Severity-Weighted Total</t>
  </si>
  <si>
    <t>Complaints per 1,000 units</t>
  </si>
  <si>
    <t>Avg Days to Resolve</t>
  </si>
  <si>
    <t>DOWNTIME vs COMPLAINT SEVERITY — CORRELATION (Pearson, n=24 plant-months)</t>
  </si>
  <si>
    <t>Measure</t>
  </si>
  <si>
    <t>Correlation with unplanned downtime hours</t>
  </si>
  <si>
    <t>Reading</t>
  </si>
  <si>
    <t>Complaint count</t>
  </si>
  <si>
    <t>Weak positive</t>
  </si>
  <si>
    <t>Severity-weighted complaint total (Σ weights)</t>
  </si>
  <si>
    <t>Moderate positive</t>
  </si>
  <si>
    <t>Mean severity per complaint (1–4)</t>
  </si>
  <si>
    <t>Moderate positive — strongest link</t>
  </si>
  <si>
    <t>Complaint rate per 1,000 units</t>
  </si>
  <si>
    <t>PLANT-LEVEL H1 2024 SUMMARY</t>
  </si>
  <si>
    <t>Complaints H1</t>
  </si>
  <si>
    <t>Critical complaints</t>
  </si>
  <si>
    <t>Open / In Progress</t>
  </si>
  <si>
    <t>Assessment: months with more unplanned downtime tend to produce more and more severe complaints (r≈0.50 for mean severity). Phoenix has the highest complaint severity (2.89/4) and Portland the highest complaint rate (0.51 per 1,000 units) and slowest resolution (18.4 days).</t>
  </si>
  <si>
    <t>EQUIPMENT RISK MATRIX — AGE × CONDITION × OVERHAUL HISTORY</t>
  </si>
  <si>
    <t>REPLACE priority: age &gt; 8 years AND condition rating ≤ 5. OVERHAUL/MONITOR: age &gt; 8 years, or condition ≤ 5 with overhaul ≥ 5 years ago. Ages as of 2024.</t>
  </si>
  <si>
    <t>Equipment ID</t>
  </si>
  <si>
    <t>Type</t>
  </si>
  <si>
    <t>Year Installed</t>
  </si>
  <si>
    <t>Age (yrs)</t>
  </si>
  <si>
    <t>Last Major Overhaul</t>
  </si>
  <si>
    <t>Yrs Since Overhaul</t>
  </si>
  <si>
    <t>Condition (1–10)</t>
  </si>
  <si>
    <t>Equip Avg Monthly Downtime (hrs)</t>
  </si>
  <si>
    <t>Priority</t>
  </si>
  <si>
    <t>Risk Score</t>
  </si>
  <si>
    <t>Replacement Cost ($)</t>
  </si>
  <si>
    <t>Plant Unplanned Hrs H1</t>
  </si>
  <si>
    <t>EQ-0007</t>
  </si>
  <si>
    <t>Heat Treatment Furnace</t>
  </si>
  <si>
    <t>May-2017</t>
  </si>
  <si>
    <t>OK</t>
  </si>
  <si>
    <t>EQ-0024</t>
  </si>
  <si>
    <t>Hydraulic Press</t>
  </si>
  <si>
    <t>Jul-2019</t>
  </si>
  <si>
    <t>EQ-0027</t>
  </si>
  <si>
    <t>Automated Assembly Line</t>
  </si>
  <si>
    <t>May-2018</t>
  </si>
  <si>
    <t>EQ-0023</t>
  </si>
  <si>
    <t>EDM Machine</t>
  </si>
  <si>
    <t>Sep-2019</t>
  </si>
  <si>
    <t>EQ-0011</t>
  </si>
  <si>
    <t>Robotic Welding Cell</t>
  </si>
  <si>
    <t>EQ-0019</t>
  </si>
  <si>
    <t>CMM Inspection Station</t>
  </si>
  <si>
    <t>May-2022</t>
  </si>
  <si>
    <t>EQ-0022</t>
  </si>
  <si>
    <t>Surface Grinding Machine</t>
  </si>
  <si>
    <t>Nov-2022</t>
  </si>
  <si>
    <t>EQ-0017</t>
  </si>
  <si>
    <t>Deburring Station</t>
  </si>
  <si>
    <t>May-2023</t>
  </si>
  <si>
    <t>EQ-0021</t>
  </si>
  <si>
    <t>Laser Cutting System</t>
  </si>
  <si>
    <t>Jul-2023</t>
  </si>
  <si>
    <t>EQ-0026</t>
  </si>
  <si>
    <t>Injection Molding Press</t>
  </si>
  <si>
    <t>EQ-0028</t>
  </si>
  <si>
    <t>Nov-2020</t>
  </si>
  <si>
    <t>EQ-0014</t>
  </si>
  <si>
    <t>Jan-2019</t>
  </si>
  <si>
    <t>EQ-0020</t>
  </si>
  <si>
    <t>Nov-2023</t>
  </si>
  <si>
    <t>EQ-0016</t>
  </si>
  <si>
    <t>CNC Milling Center</t>
  </si>
  <si>
    <t>Nov-2024</t>
  </si>
  <si>
    <t>EQ-0015</t>
  </si>
  <si>
    <t>Jan-2023</t>
  </si>
  <si>
    <t>EQ-0009</t>
  </si>
  <si>
    <t>EQ-0012</t>
  </si>
  <si>
    <t>EQ-0008</t>
  </si>
  <si>
    <t>Sep-2023</t>
  </si>
  <si>
    <t>EQ-0010</t>
  </si>
  <si>
    <t>EQ-0018</t>
  </si>
  <si>
    <t>Sep-2024</t>
  </si>
  <si>
    <t>EQ-0013</t>
  </si>
  <si>
    <t>CNC Lathe</t>
  </si>
  <si>
    <t>EQ-0003</t>
  </si>
  <si>
    <t>Jan-2014</t>
  </si>
  <si>
    <t>OVERHAUL / MONITOR</t>
  </si>
  <si>
    <t>EQ-0025</t>
  </si>
  <si>
    <t>EQ-0001</t>
  </si>
  <si>
    <t>Mar-2011</t>
  </si>
  <si>
    <t>REPLACE</t>
  </si>
  <si>
    <t>EQ-0002</t>
  </si>
  <si>
    <t>Nov-2011</t>
  </si>
  <si>
    <t>EQ-0004</t>
  </si>
  <si>
    <t>EQ-0005</t>
  </si>
  <si>
    <t>Jul-2014</t>
  </si>
  <si>
    <t>EQ-0006</t>
  </si>
  <si>
    <t>Sep-2016</t>
  </si>
  <si>
    <t>CAPITAL NEED SUMMARY BY PLANT</t>
  </si>
  <si>
    <t>Equipment Units</t>
  </si>
  <si>
    <t>Avg Age (yrs)</t>
  </si>
  <si>
    <t>Avg Condition (1–10)</t>
  </si>
  <si>
    <t>REPLACE Items</t>
  </si>
  <si>
    <t>Replacement Capital ($)</t>
  </si>
  <si>
    <t>Plant Unplanned Downtime (hrs/mo H1)</t>
  </si>
  <si>
    <t>TOTAL</t>
  </si>
  <si>
    <t>Assessment: replacement need is concentrated at Columbus (5 of 28 units; $2.66M; avg fleet age 12.1 yrs), consistent with its network-high unplanned downtime (757 hrs H1, 4.4% of total hours). Phoenix equipment is newest (avg 1.9 yrs) but two 2023–24 installations (CMM inspection, laser cutting) already rate ≤5 — commissioning/process issues, not age.</t>
  </si>
</sst>
</file>

<file path=xl/styles.xml><?xml version="1.0" encoding="utf-8"?>
<styleSheet xmlns="http://schemas.openxmlformats.org/spreadsheetml/2006/main">
  <numFmts count="7">
    <numFmt numFmtId="164" formatCode="#,##0"/>
    <numFmt numFmtId="165" formatCode="0.00"/>
    <numFmt numFmtId="166" formatCode="#,##0.00"/>
    <numFmt numFmtId="167" formatCode="$#,##0.00"/>
    <numFmt numFmtId="168" formatCode="0.0"/>
    <numFmt numFmtId="169" formatCode="$#,##0"/>
    <numFmt numFmtId="170" formatCode="#,##0.0"/>
  </numFmts>
  <fonts count="7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2"/>
      <color rgb="FF1F386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4" fillId="0" borderId="0" xfId="0" applyFont="1" applyAlignment="1">
      <alignment wrapText="1"/>
    </xf>
    <xf numFmtId="170" fontId="0" fillId="0" borderId="0" xfId="0" applyNumberFormat="1"/>
    <xf numFmtId="0" fontId="5" fillId="3" borderId="0" xfId="0" applyFont="1" applyFill="1" applyAlignment="1">
      <alignment horizontal="center"/>
    </xf>
    <xf numFmtId="0" fontId="6" fillId="0" borderId="0" xfId="0" applyFont="1"/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OEE by Plant (Q1–Q2 2024)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OEE %</c:v>
          </c:tx>
          <c:spPr>
            <a:solidFill>
              <a:srgbClr val="1F3864"/>
            </a:solidFill>
          </c:spPr>
          <c:dLbls>
            <c:numFmt formatCode="0.0" sourceLinked="0"/>
            <c:showVal val="1"/>
          </c:dLbls>
          <c:cat>
            <c:strRef>
              <c:f>'Plant Scorecard'!$B$6:$B$9</c:f>
              <c:strCache>
                <c:ptCount val="4"/>
                <c:pt idx="0">
                  <c:v>Nashville TN</c:v>
                </c:pt>
                <c:pt idx="1">
                  <c:v>Columbus OH</c:v>
                </c:pt>
                <c:pt idx="2">
                  <c:v>Portland OR</c:v>
                </c:pt>
                <c:pt idx="3">
                  <c:v>Phoenix AZ</c:v>
                </c:pt>
              </c:strCache>
            </c:strRef>
          </c:cat>
          <c:val>
            <c:numRef>
              <c:f>'Plant Scorecard'!$E$6:$E$9</c:f>
              <c:numCache>
                <c:formatCode>General</c:formatCode>
                <c:ptCount val="4"/>
                <c:pt idx="0">
                  <c:v>96.08959830363101</c:v>
                </c:pt>
                <c:pt idx="1">
                  <c:v>91.87329732330862</c:v>
                </c:pt>
                <c:pt idx="2">
                  <c:v>91.91281253101245</c:v>
                </c:pt>
                <c:pt idx="3">
                  <c:v>91.44152757017444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Plant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85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OEE 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Defect Rate per 1,000 Units by Plant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Defects per 1,000 units</c:v>
          </c:tx>
          <c:spPr>
            <a:solidFill>
              <a:srgbClr val="C00000"/>
            </a:solidFill>
          </c:spPr>
          <c:dLbls>
            <c:numFmt formatCode="0.0" sourceLinked="0"/>
            <c:showVal val="1"/>
          </c:dLbls>
          <c:cat>
            <c:strRef>
              <c:f>'Plant Scorecard'!$B$6:$B$9</c:f>
              <c:strCache>
                <c:ptCount val="4"/>
                <c:pt idx="0">
                  <c:v>Nashville TN</c:v>
                </c:pt>
                <c:pt idx="1">
                  <c:v>Columbus OH</c:v>
                </c:pt>
                <c:pt idx="2">
                  <c:v>Portland OR</c:v>
                </c:pt>
                <c:pt idx="3">
                  <c:v>Phoenix AZ</c:v>
                </c:pt>
              </c:strCache>
            </c:strRef>
          </c:cat>
          <c:val>
            <c:numRef>
              <c:f>'Plant Scorecard'!$F$6:$F$9</c:f>
              <c:numCache>
                <c:formatCode>General</c:formatCode>
                <c:ptCount val="4"/>
                <c:pt idx="0">
                  <c:v>18.75240924242081</c:v>
                </c:pt>
                <c:pt idx="1">
                  <c:v>40.45949214026602</c:v>
                </c:pt>
                <c:pt idx="2">
                  <c:v>42.148129294986</c:v>
                </c:pt>
                <c:pt idx="3">
                  <c:v>54.6853681165748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Plant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Defects per 1,000 units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Plant Capacity Utilization vs U.S. Manufacturing Average (FRED MCUMFN, H1 2024)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Plant utilization %</c:v>
          </c:tx>
          <c:spPr>
            <a:solidFill>
              <a:srgbClr val="1F3864"/>
            </a:solidFill>
          </c:spPr>
          <c:dLbls>
            <c:numFmt formatCode="0.0" sourceLinked="0"/>
            <c:showVal val="1"/>
          </c:dLbls>
          <c:cat>
            <c:strRef>
              <c:f>'Industry Benchmark'!$B$19:$B$22</c:f>
              <c:strCache>
                <c:ptCount val="4"/>
                <c:pt idx="0">
                  <c:v>Columbus OH</c:v>
                </c:pt>
                <c:pt idx="1">
                  <c:v>Nashville TN</c:v>
                </c:pt>
                <c:pt idx="2">
                  <c:v>Phoenix AZ</c:v>
                </c:pt>
                <c:pt idx="3">
                  <c:v>Portland OR</c:v>
                </c:pt>
              </c:strCache>
            </c:strRef>
          </c:cat>
          <c:val>
            <c:numRef>
              <c:f>'Industry Benchmark'!$C$19:$C$22</c:f>
              <c:numCache>
                <c:formatCode>General</c:formatCode>
                <c:ptCount val="4"/>
                <c:pt idx="0">
                  <c:v>94.45687929272947</c:v>
                </c:pt>
                <c:pt idx="1">
                  <c:v>99.63545651517002</c:v>
                </c:pt>
                <c:pt idx="2">
                  <c:v>91.19379561273252</c:v>
                </c:pt>
                <c:pt idx="3">
                  <c:v>94.64233718334465</c:v>
                </c:pt>
              </c:numCache>
            </c:numRef>
          </c:val>
        </c:ser>
        <c:ser>
          <c:idx val="1"/>
          <c:order val="1"/>
          <c:tx>
            <c:v>FRED U.S. mfg avg %</c:v>
          </c:tx>
          <c:spPr>
            <a:ln w="28575">
              <a:solidFill>
                <a:srgbClr val="C00000"/>
              </a:solidFill>
            </a:ln>
          </c:spPr>
          <c:cat>
            <c:strRef>
              <c:f>'Industry Benchmark'!$B$19:$B$22</c:f>
              <c:strCache>
                <c:ptCount val="4"/>
                <c:pt idx="0">
                  <c:v>Columbus OH</c:v>
                </c:pt>
                <c:pt idx="1">
                  <c:v>Nashville TN</c:v>
                </c:pt>
                <c:pt idx="2">
                  <c:v>Phoenix AZ</c:v>
                </c:pt>
                <c:pt idx="3">
                  <c:v>Portland OR</c:v>
                </c:pt>
              </c:strCache>
            </c:strRef>
          </c:cat>
          <c:val>
            <c:numRef>
              <c:f>'Industry Benchmark'!$E$19:$E$22</c:f>
              <c:numCache>
                <c:formatCode>General</c:formatCode>
                <c:ptCount val="4"/>
                <c:pt idx="0">
                  <c:v>75.83</c:v>
                </c:pt>
                <c:pt idx="1">
                  <c:v>75.83</c:v>
                </c:pt>
                <c:pt idx="2">
                  <c:v>75.83</c:v>
                </c:pt>
                <c:pt idx="3">
                  <c:v>75.83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05"/>
          <c:min val="6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Utilization %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Estimated Replacement Capital by Plant (REPLACE-priority items)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Replacement capital ($)</c:v>
          </c:tx>
          <c:spPr>
            <a:solidFill>
              <a:srgbClr val="C00000"/>
            </a:solidFill>
          </c:spPr>
          <c:dLbls>
            <c:numFmt formatCode="$#,##0" sourceLinked="0"/>
            <c:showVal val="1"/>
          </c:dLbls>
          <c:cat>
            <c:strRef>
              <c:f>'Equipment Risk Matrix'!$B$39:$B$42</c:f>
              <c:strCache>
                <c:ptCount val="4"/>
                <c:pt idx="0">
                  <c:v>Columbus OH</c:v>
                </c:pt>
                <c:pt idx="1">
                  <c:v>Nashville TN</c:v>
                </c:pt>
                <c:pt idx="2">
                  <c:v>Phoenix AZ</c:v>
                </c:pt>
                <c:pt idx="3">
                  <c:v>Portland OR</c:v>
                </c:pt>
              </c:strCache>
            </c:strRef>
          </c:cat>
          <c:val>
            <c:numRef>
              <c:f>'Equipment Risk Matrix'!$G$39:$G$42</c:f>
              <c:numCache>
                <c:formatCode>General</c:formatCode>
                <c:ptCount val="4"/>
                <c:pt idx="0">
                  <c:v>2664924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US$</a:t>
                </a:r>
              </a:p>
            </c:rich>
          </c:tx>
          <c:layout/>
        </c:title>
        <c:numFmt formatCode="$#,##0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5</xdr:col>
      <xdr:colOff>190500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12</xdr:col>
      <xdr:colOff>247650</xdr:colOff>
      <xdr:row>31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41</xdr:row>
      <xdr:rowOff>0</xdr:rowOff>
    </xdr:from>
    <xdr:to>
      <xdr:col>7</xdr:col>
      <xdr:colOff>704850</xdr:colOff>
      <xdr:row>57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45</xdr:row>
      <xdr:rowOff>0</xdr:rowOff>
    </xdr:from>
    <xdr:to>
      <xdr:col>5</xdr:col>
      <xdr:colOff>628650</xdr:colOff>
      <xdr:row>60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25"/>
  <sheetViews>
    <sheetView showGridLines="0" tabSelected="1" workbookViewId="0"/>
  </sheetViews>
  <sheetFormatPr defaultRowHeight="15"/>
  <cols>
    <col min="1" max="1" width="2.7109375" customWidth="1"/>
    <col min="2" max="2" width="24.7109375" customWidth="1"/>
    <col min="3" max="9" width="12.7109375" customWidth="1"/>
    <col min="10" max="11" width="13.7109375" customWidth="1"/>
  </cols>
  <sheetData>
    <row r="2" spans="2:13">
      <c r="B2" s="1" t="s">
        <v>0</v>
      </c>
    </row>
    <row r="3" spans="2:13">
      <c r="B3" s="2" t="s">
        <v>1</v>
      </c>
    </row>
    <row r="5" spans="2:1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2:13">
      <c r="B6" t="s">
        <v>10</v>
      </c>
      <c r="C6" s="4">
        <v>1</v>
      </c>
      <c r="D6" s="4">
        <v>5</v>
      </c>
      <c r="E6" s="5">
        <v>96.08959830363101</v>
      </c>
      <c r="F6" s="6">
        <v>18.75240924242081</v>
      </c>
      <c r="G6" s="5">
        <v>95.66666666666667</v>
      </c>
      <c r="H6" s="5">
        <v>1.965755392089521</v>
      </c>
      <c r="I6" s="7">
        <v>55.79196956985102</v>
      </c>
    </row>
    <row r="7" spans="2:13">
      <c r="B7" t="s">
        <v>11</v>
      </c>
      <c r="C7" s="4">
        <v>2</v>
      </c>
      <c r="D7" s="4">
        <v>13</v>
      </c>
      <c r="E7" s="5">
        <v>91.87329732330862</v>
      </c>
      <c r="F7" s="6">
        <v>40.45949214026602</v>
      </c>
      <c r="G7" s="5">
        <v>90.51111111111112</v>
      </c>
      <c r="H7" s="5">
        <v>4.441706272369888</v>
      </c>
      <c r="I7" s="7">
        <v>62.34602394195889</v>
      </c>
    </row>
    <row r="8" spans="2:13">
      <c r="B8" t="s">
        <v>12</v>
      </c>
      <c r="C8" s="4">
        <v>3</v>
      </c>
      <c r="D8" s="4">
        <v>14</v>
      </c>
      <c r="E8" s="5">
        <v>91.91281253101245</v>
      </c>
      <c r="F8" s="6">
        <v>42.148129294986</v>
      </c>
      <c r="G8" s="5">
        <v>90.04444444444444</v>
      </c>
      <c r="H8" s="5">
        <v>4.003118596355657</v>
      </c>
      <c r="I8" s="7">
        <v>62.56431916518197</v>
      </c>
    </row>
    <row r="9" spans="2:13">
      <c r="B9" t="s">
        <v>13</v>
      </c>
      <c r="C9" s="4">
        <v>4</v>
      </c>
      <c r="D9" s="4">
        <v>18</v>
      </c>
      <c r="E9" s="5">
        <v>91.44152757017444</v>
      </c>
      <c r="F9" s="6">
        <v>54.6853681165748</v>
      </c>
      <c r="G9" s="5">
        <v>88.18333333333334</v>
      </c>
      <c r="H9" s="5">
        <v>3.734572848212854</v>
      </c>
      <c r="I9" s="7">
        <v>67.93352698793865</v>
      </c>
    </row>
    <row r="12" spans="2:13">
      <c r="B12" s="3" t="s">
        <v>14</v>
      </c>
      <c r="C12" s="3" t="s">
        <v>15</v>
      </c>
      <c r="D12" s="3" t="s">
        <v>16</v>
      </c>
      <c r="E12" s="3" t="s">
        <v>17</v>
      </c>
      <c r="F12" s="3" t="s">
        <v>18</v>
      </c>
      <c r="G12" s="3" t="s">
        <v>19</v>
      </c>
      <c r="H12" s="3" t="s">
        <v>20</v>
      </c>
      <c r="I12" s="3" t="s">
        <v>21</v>
      </c>
      <c r="J12" s="3" t="s">
        <v>22</v>
      </c>
      <c r="K12" s="3" t="s">
        <v>23</v>
      </c>
      <c r="L12" s="3" t="s">
        <v>24</v>
      </c>
      <c r="M12" s="3" t="s">
        <v>25</v>
      </c>
    </row>
    <row r="13" spans="2:13">
      <c r="B13" t="s">
        <v>10</v>
      </c>
      <c r="C13" s="4">
        <v>44101</v>
      </c>
      <c r="D13" s="4">
        <v>44285</v>
      </c>
      <c r="E13" s="8">
        <v>99.58450942757142</v>
      </c>
      <c r="F13" s="8">
        <v>97.97604428528261</v>
      </c>
      <c r="G13" s="8">
        <v>99.94886650858987</v>
      </c>
      <c r="H13" s="8">
        <v>98.12475907575792</v>
      </c>
      <c r="I13" s="8">
        <v>99.63545651517002</v>
      </c>
      <c r="J13" s="7">
        <v>36.85224099226775</v>
      </c>
      <c r="K13" s="7">
        <v>18.93972857758327</v>
      </c>
      <c r="L13" s="7">
        <v>53.89823643285797</v>
      </c>
      <c r="M13" s="9">
        <v>365211.57</v>
      </c>
    </row>
    <row r="14" spans="2:13">
      <c r="B14" t="s">
        <v>11</v>
      </c>
      <c r="C14" s="4">
        <v>41350</v>
      </c>
      <c r="D14" s="4">
        <v>43677</v>
      </c>
      <c r="E14" s="8">
        <v>94.67225313093849</v>
      </c>
      <c r="F14" s="8">
        <v>95.52936035009184</v>
      </c>
      <c r="G14" s="8">
        <v>100.2280128666347</v>
      </c>
      <c r="H14" s="8">
        <v>95.95405078597339</v>
      </c>
      <c r="I14" s="8">
        <v>94.45687929272947</v>
      </c>
      <c r="J14" s="7">
        <v>39.04852551390568</v>
      </c>
      <c r="K14" s="7">
        <v>23.29749842805321</v>
      </c>
      <c r="L14" s="7">
        <v>60.23168293308158</v>
      </c>
      <c r="M14" s="9">
        <v>763710.96</v>
      </c>
    </row>
    <row r="15" spans="2:13">
      <c r="B15" t="s">
        <v>12</v>
      </c>
      <c r="C15" s="4">
        <v>39290</v>
      </c>
      <c r="D15" s="4">
        <v>41523</v>
      </c>
      <c r="E15" s="8">
        <v>94.62225754401176</v>
      </c>
      <c r="F15" s="8">
        <v>95.9775932114086</v>
      </c>
      <c r="G15" s="8">
        <v>99.97878366074794</v>
      </c>
      <c r="H15" s="8">
        <v>95.78518707050139</v>
      </c>
      <c r="I15" s="8">
        <v>94.64233718334465</v>
      </c>
      <c r="J15" s="7">
        <v>38.81791371850343</v>
      </c>
      <c r="K15" s="7">
        <v>23.74640544667854</v>
      </c>
      <c r="L15" s="7">
        <v>68.34436541307119</v>
      </c>
      <c r="M15" s="9">
        <v>619974.36</v>
      </c>
    </row>
    <row r="16" spans="2:13">
      <c r="B16" t="s">
        <v>13</v>
      </c>
      <c r="C16" s="4">
        <v>36646</v>
      </c>
      <c r="D16" s="4">
        <v>40044</v>
      </c>
      <c r="E16" s="8">
        <v>91.51433423234442</v>
      </c>
      <c r="F16" s="8">
        <v>96.39250350122808</v>
      </c>
      <c r="G16" s="8">
        <v>100.3514916968399</v>
      </c>
      <c r="H16" s="8">
        <v>94.53146318834251</v>
      </c>
      <c r="I16" s="8">
        <v>91.19379561273252</v>
      </c>
      <c r="J16" s="7">
        <v>42.57960377667413</v>
      </c>
      <c r="K16" s="7">
        <v>25.35392321126453</v>
      </c>
      <c r="L16" s="7">
        <v>71.70241318104645</v>
      </c>
      <c r="M16" s="9">
        <v>470932.18</v>
      </c>
    </row>
    <row r="19" spans="2:2">
      <c r="B19" s="10" t="s">
        <v>26</v>
      </c>
    </row>
    <row r="20" spans="2:2">
      <c r="B20" s="10" t="s">
        <v>27</v>
      </c>
    </row>
    <row r="21" spans="2:2">
      <c r="B21" s="10" t="s">
        <v>28</v>
      </c>
    </row>
    <row r="22" spans="2:2">
      <c r="B22" s="10" t="s">
        <v>29</v>
      </c>
    </row>
    <row r="23" spans="2:2">
      <c r="B23" s="10" t="s">
        <v>30</v>
      </c>
    </row>
    <row r="24" spans="2:2">
      <c r="B24" s="10" t="s">
        <v>31</v>
      </c>
    </row>
    <row r="25" spans="2:2">
      <c r="B25" s="10" t="s">
        <v>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P51"/>
  <sheetViews>
    <sheetView showGridLines="0" workbookViewId="0"/>
  </sheetViews>
  <sheetFormatPr defaultRowHeight="15"/>
  <cols>
    <col min="1" max="1" width="2.7109375" customWidth="1"/>
    <col min="2" max="2" width="14.7109375" customWidth="1"/>
    <col min="3" max="3" width="19.7109375" customWidth="1"/>
    <col min="4" max="22" width="12.7109375" customWidth="1"/>
  </cols>
  <sheetData>
    <row r="2" spans="2:16">
      <c r="B2" s="1" t="s">
        <v>33</v>
      </c>
    </row>
    <row r="3" spans="2:16">
      <c r="B3" s="2" t="s">
        <v>34</v>
      </c>
    </row>
    <row r="4" spans="2:16">
      <c r="B4" s="2" t="s">
        <v>35</v>
      </c>
    </row>
    <row r="6" spans="2:16">
      <c r="B6" s="3" t="s">
        <v>14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41</v>
      </c>
      <c r="I6" s="3" t="s">
        <v>42</v>
      </c>
      <c r="J6" s="3" t="s">
        <v>43</v>
      </c>
      <c r="K6" s="3" t="s">
        <v>44</v>
      </c>
      <c r="L6" s="3" t="s">
        <v>45</v>
      </c>
      <c r="M6" s="3" t="s">
        <v>46</v>
      </c>
      <c r="N6" s="3" t="s">
        <v>47</v>
      </c>
      <c r="O6" s="3" t="s">
        <v>48</v>
      </c>
      <c r="P6" s="3" t="s">
        <v>49</v>
      </c>
    </row>
    <row r="7" spans="2:16">
      <c r="B7" t="s">
        <v>11</v>
      </c>
      <c r="C7" t="s">
        <v>50</v>
      </c>
      <c r="D7" s="11">
        <v>36.74860063275736</v>
      </c>
      <c r="E7" s="11">
        <v>42.36050248320187</v>
      </c>
      <c r="F7" s="8">
        <v>88.09999999999999</v>
      </c>
      <c r="G7" s="8">
        <v>90.09999999999999</v>
      </c>
      <c r="H7" s="8">
        <v>96.36824324324324</v>
      </c>
      <c r="I7" s="6">
        <v>0.5340153804377524</v>
      </c>
      <c r="J7" s="6">
        <v>-0.02571428571427871</v>
      </c>
      <c r="K7" s="6">
        <v>-0.3061888526102728</v>
      </c>
      <c r="L7" s="4">
        <v>3</v>
      </c>
      <c r="M7" s="4">
        <v>3</v>
      </c>
      <c r="N7" s="4">
        <v>2</v>
      </c>
      <c r="O7" s="4">
        <v>2</v>
      </c>
      <c r="P7" s="12" t="s">
        <v>51</v>
      </c>
    </row>
    <row r="8" spans="2:16">
      <c r="B8" t="s">
        <v>10</v>
      </c>
      <c r="C8" t="s">
        <v>52</v>
      </c>
      <c r="D8" s="11">
        <v>15.59116500649632</v>
      </c>
      <c r="E8" s="11">
        <v>17.98410706817231</v>
      </c>
      <c r="F8" s="8">
        <v>97.59999999999999</v>
      </c>
      <c r="G8" s="8">
        <v>94.3</v>
      </c>
      <c r="H8" s="8">
        <v>98.55729596042869</v>
      </c>
      <c r="I8" s="6">
        <v>-0.1078887540740883</v>
      </c>
      <c r="J8" s="6">
        <v>-0.3685714285714276</v>
      </c>
      <c r="K8" s="6">
        <v>-0.1920823046474859</v>
      </c>
      <c r="L8" s="4">
        <v>2</v>
      </c>
      <c r="M8" s="4">
        <v>3</v>
      </c>
      <c r="N8" s="4">
        <v>4</v>
      </c>
      <c r="O8" s="4">
        <v>2</v>
      </c>
      <c r="P8" s="12" t="s">
        <v>51</v>
      </c>
    </row>
    <row r="9" spans="2:16">
      <c r="B9" t="s">
        <v>12</v>
      </c>
      <c r="C9" t="s">
        <v>52</v>
      </c>
      <c r="D9" s="11">
        <v>41.23711340206186</v>
      </c>
      <c r="E9" s="11">
        <v>42.19143576826197</v>
      </c>
      <c r="F9" s="8">
        <v>92.3</v>
      </c>
      <c r="G9" s="8">
        <v>87</v>
      </c>
      <c r="H9" s="8">
        <v>93.57690041249263</v>
      </c>
      <c r="I9" s="6">
        <v>1.761370661680659</v>
      </c>
      <c r="J9" s="6">
        <v>-1.437142857142858</v>
      </c>
      <c r="K9" s="6">
        <v>-0.702605525448059</v>
      </c>
      <c r="L9" s="4">
        <v>2</v>
      </c>
      <c r="M9" s="4">
        <v>3</v>
      </c>
      <c r="N9" s="4">
        <v>4</v>
      </c>
      <c r="O9" s="4">
        <v>2</v>
      </c>
      <c r="P9" s="12" t="s">
        <v>51</v>
      </c>
    </row>
    <row r="10" spans="2:16">
      <c r="B10" t="s">
        <v>12</v>
      </c>
      <c r="C10" t="s">
        <v>53</v>
      </c>
      <c r="D10" s="11">
        <v>48.88507718696398</v>
      </c>
      <c r="E10" s="11">
        <v>39.85507246376812</v>
      </c>
      <c r="F10" s="8">
        <v>91.90000000000001</v>
      </c>
      <c r="G10" s="8">
        <v>87.90000000000001</v>
      </c>
      <c r="H10" s="8">
        <v>95.06314580941446</v>
      </c>
      <c r="I10" s="6">
        <v>-0.9844099248955596</v>
      </c>
      <c r="J10" s="6">
        <v>-0.9885714285714279</v>
      </c>
      <c r="K10" s="6">
        <v>-0.1663949540977336</v>
      </c>
      <c r="L10" s="4">
        <v>3</v>
      </c>
      <c r="M10" s="4">
        <v>3</v>
      </c>
      <c r="N10" s="4">
        <v>3</v>
      </c>
      <c r="O10" s="4">
        <v>2</v>
      </c>
      <c r="P10" s="12" t="s">
        <v>51</v>
      </c>
    </row>
    <row r="11" spans="2:16">
      <c r="B11" t="s">
        <v>12</v>
      </c>
      <c r="C11" t="s">
        <v>50</v>
      </c>
      <c r="D11" s="11">
        <v>26.55160969133754</v>
      </c>
      <c r="E11" s="11">
        <v>55.50555055505551</v>
      </c>
      <c r="F11" s="8">
        <v>93.90000000000001</v>
      </c>
      <c r="G11" s="8">
        <v>84.3</v>
      </c>
      <c r="H11" s="8">
        <v>95.09272467902996</v>
      </c>
      <c r="I11" s="6">
        <v>5.345667405473802</v>
      </c>
      <c r="J11" s="6">
        <v>-1.528571428571427</v>
      </c>
      <c r="K11" s="6">
        <v>0.2025400437447493</v>
      </c>
      <c r="L11" s="4">
        <v>3</v>
      </c>
      <c r="M11" s="4">
        <v>4</v>
      </c>
      <c r="N11" s="4">
        <v>2</v>
      </c>
      <c r="O11" s="4">
        <v>2</v>
      </c>
      <c r="P11" s="12" t="s">
        <v>51</v>
      </c>
    </row>
    <row r="12" spans="2:16">
      <c r="B12" t="s">
        <v>11</v>
      </c>
      <c r="C12" t="s">
        <v>52</v>
      </c>
      <c r="D12" s="11">
        <v>33.86699507389162</v>
      </c>
      <c r="E12" s="11">
        <v>53.00859598853868</v>
      </c>
      <c r="F12" s="8">
        <v>89.7</v>
      </c>
      <c r="G12" s="8">
        <v>90.90000000000001</v>
      </c>
      <c r="H12" s="8">
        <v>97.16937354988399</v>
      </c>
      <c r="I12" s="6">
        <v>2.742486330815974</v>
      </c>
      <c r="J12" s="6">
        <v>0.1742857142857197</v>
      </c>
      <c r="K12" s="6">
        <v>0.2261251797104287</v>
      </c>
      <c r="L12" s="4">
        <v>3</v>
      </c>
      <c r="M12" s="4">
        <v>2</v>
      </c>
      <c r="N12" s="4">
        <v>2</v>
      </c>
      <c r="O12" s="4">
        <v>1</v>
      </c>
      <c r="P12" t="s">
        <v>54</v>
      </c>
    </row>
    <row r="13" spans="2:16">
      <c r="B13" t="s">
        <v>11</v>
      </c>
      <c r="C13" t="s">
        <v>53</v>
      </c>
      <c r="D13" s="11">
        <v>45.32577903682719</v>
      </c>
      <c r="E13" s="11">
        <v>30.42198233562316</v>
      </c>
      <c r="F13" s="8">
        <v>89.40000000000001</v>
      </c>
      <c r="G13" s="8">
        <v>88.59999999999999</v>
      </c>
      <c r="H13" s="8">
        <v>93.05936073059361</v>
      </c>
      <c r="I13" s="6">
        <v>-1.262669158284047</v>
      </c>
      <c r="J13" s="6">
        <v>-0.1599999999999986</v>
      </c>
      <c r="K13" s="6">
        <v>-0.03328118416684286</v>
      </c>
      <c r="L13" s="4">
        <v>3</v>
      </c>
      <c r="M13" s="4">
        <v>2</v>
      </c>
      <c r="N13" s="4">
        <v>3</v>
      </c>
      <c r="O13" s="4">
        <v>1</v>
      </c>
      <c r="P13" t="s">
        <v>54</v>
      </c>
    </row>
    <row r="14" spans="2:16">
      <c r="B14" t="s">
        <v>10</v>
      </c>
      <c r="C14" t="s">
        <v>50</v>
      </c>
      <c r="D14" s="11">
        <v>21.09996540989277</v>
      </c>
      <c r="E14" s="11">
        <v>10.37822878228782</v>
      </c>
      <c r="F14" s="8">
        <v>95.3</v>
      </c>
      <c r="G14" s="8">
        <v>94</v>
      </c>
      <c r="H14" s="8">
        <v>102.2159358793022</v>
      </c>
      <c r="I14" s="6">
        <v>-0.6317431751081135</v>
      </c>
      <c r="J14" s="6">
        <v>-0.245714285714285</v>
      </c>
      <c r="K14" s="6">
        <v>0.4444355823899047</v>
      </c>
      <c r="L14" s="4">
        <v>2</v>
      </c>
      <c r="M14" s="4">
        <v>3</v>
      </c>
      <c r="N14" s="4">
        <v>2</v>
      </c>
      <c r="O14" s="4">
        <v>1</v>
      </c>
      <c r="P14" t="s">
        <v>54</v>
      </c>
    </row>
    <row r="15" spans="2:16">
      <c r="B15" t="s">
        <v>13</v>
      </c>
      <c r="C15" t="s">
        <v>52</v>
      </c>
      <c r="D15" s="11">
        <v>67.04397039616892</v>
      </c>
      <c r="E15" s="11">
        <v>68.14079422382672</v>
      </c>
      <c r="F15" s="8">
        <v>86.3</v>
      </c>
      <c r="G15" s="8">
        <v>87</v>
      </c>
      <c r="H15" s="8">
        <v>89.97157937474624</v>
      </c>
      <c r="I15" s="6">
        <v>2.837985432052332</v>
      </c>
      <c r="J15" s="6">
        <v>0.03999999999999759</v>
      </c>
      <c r="K15" s="6">
        <v>0.424234883487361</v>
      </c>
      <c r="L15" s="4">
        <v>3</v>
      </c>
      <c r="M15" s="4">
        <v>3</v>
      </c>
      <c r="N15" s="4">
        <v>3</v>
      </c>
      <c r="O15" s="4">
        <v>1</v>
      </c>
      <c r="P15" t="s">
        <v>54</v>
      </c>
    </row>
    <row r="16" spans="2:16">
      <c r="B16" t="s">
        <v>13</v>
      </c>
      <c r="C16" t="s">
        <v>50</v>
      </c>
      <c r="D16" s="11">
        <v>63.69802418165733</v>
      </c>
      <c r="E16" s="11">
        <v>44.07294832826748</v>
      </c>
      <c r="F16" s="8">
        <v>85</v>
      </c>
      <c r="G16" s="8">
        <v>87.90000000000001</v>
      </c>
      <c r="H16" s="8">
        <v>90.65858363185451</v>
      </c>
      <c r="I16" s="6">
        <v>-3.230555090737786</v>
      </c>
      <c r="J16" s="6">
        <v>0.5285714285714317</v>
      </c>
      <c r="K16" s="6">
        <v>-0.4949542962025617</v>
      </c>
      <c r="L16" s="4">
        <v>1</v>
      </c>
      <c r="M16" s="4">
        <v>2</v>
      </c>
      <c r="N16" s="4">
        <v>3</v>
      </c>
      <c r="O16" s="4">
        <v>1</v>
      </c>
      <c r="P16" t="s">
        <v>54</v>
      </c>
    </row>
    <row r="17" spans="2:16">
      <c r="B17" t="s">
        <v>10</v>
      </c>
      <c r="C17" t="s">
        <v>53</v>
      </c>
      <c r="D17" s="11">
        <v>21.77068214804064</v>
      </c>
      <c r="E17" s="11">
        <v>14.31492842535787</v>
      </c>
      <c r="F17" s="8">
        <v>96.7</v>
      </c>
      <c r="G17" s="8">
        <v>95.2</v>
      </c>
      <c r="H17" s="8">
        <v>100.3076923076923</v>
      </c>
      <c r="I17" s="6">
        <v>-1.631617997289269</v>
      </c>
      <c r="J17" s="6">
        <v>-0.4999999999999938</v>
      </c>
      <c r="K17" s="6">
        <v>0.03396194951947865</v>
      </c>
      <c r="L17" s="4">
        <v>3</v>
      </c>
      <c r="M17" s="4">
        <v>2</v>
      </c>
      <c r="N17" s="4">
        <v>3</v>
      </c>
      <c r="O17" s="4">
        <v>0</v>
      </c>
      <c r="P17" t="s">
        <v>54</v>
      </c>
    </row>
    <row r="18" spans="2:16">
      <c r="B18" t="s">
        <v>13</v>
      </c>
      <c r="C18" t="s">
        <v>53</v>
      </c>
      <c r="D18" s="11">
        <v>64.99261447562778</v>
      </c>
      <c r="E18" s="11">
        <v>48.35766423357664</v>
      </c>
      <c r="F18" s="8">
        <v>82.2</v>
      </c>
      <c r="G18" s="8">
        <v>92.09999999999999</v>
      </c>
      <c r="H18" s="8">
        <v>88.74493927125506</v>
      </c>
      <c r="I18" s="6">
        <v>-1.844385368923061</v>
      </c>
      <c r="J18" s="6">
        <v>1.365714285714292</v>
      </c>
      <c r="K18" s="6">
        <v>0.1934539873335333</v>
      </c>
      <c r="L18" s="4">
        <v>2</v>
      </c>
      <c r="M18" s="4">
        <v>2</v>
      </c>
      <c r="N18" s="4">
        <v>2</v>
      </c>
      <c r="O18" s="4">
        <v>0</v>
      </c>
      <c r="P18" t="s">
        <v>54</v>
      </c>
    </row>
    <row r="21" spans="2:16">
      <c r="B21" s="13" t="s">
        <v>55</v>
      </c>
    </row>
    <row r="23" spans="2:16">
      <c r="B23" s="3" t="s">
        <v>14</v>
      </c>
      <c r="C23" s="3" t="s">
        <v>56</v>
      </c>
      <c r="D23" s="3" t="s">
        <v>57</v>
      </c>
      <c r="E23" s="3" t="s">
        <v>58</v>
      </c>
      <c r="F23" s="3" t="s">
        <v>59</v>
      </c>
      <c r="G23" s="3" t="s">
        <v>60</v>
      </c>
    </row>
    <row r="24" spans="2:16">
      <c r="B24">
        <v>0</v>
      </c>
      <c r="C24" t="s">
        <v>11</v>
      </c>
      <c r="D24" s="6">
        <v>0.9536191572616624</v>
      </c>
      <c r="E24" s="6">
        <v>-0.003809523809520413</v>
      </c>
      <c r="F24" t="s">
        <v>61</v>
      </c>
      <c r="G24" t="s">
        <v>62</v>
      </c>
    </row>
    <row r="25" spans="2:16">
      <c r="B25">
        <v>1</v>
      </c>
      <c r="C25" t="s">
        <v>10</v>
      </c>
      <c r="D25" s="6">
        <v>-0.6558489129027149</v>
      </c>
      <c r="E25" s="6">
        <v>-0.3714285714285666</v>
      </c>
      <c r="F25" t="s">
        <v>63</v>
      </c>
      <c r="G25" t="s">
        <v>61</v>
      </c>
    </row>
    <row r="26" spans="2:16">
      <c r="B26">
        <v>2</v>
      </c>
      <c r="C26" t="s">
        <v>13</v>
      </c>
      <c r="D26" s="6">
        <v>-1.220904580166717</v>
      </c>
      <c r="E26" s="6">
        <v>0.6447619047619048</v>
      </c>
      <c r="F26" t="s">
        <v>63</v>
      </c>
      <c r="G26" t="s">
        <v>63</v>
      </c>
    </row>
    <row r="27" spans="2:16">
      <c r="B27">
        <v>3</v>
      </c>
      <c r="C27" t="s">
        <v>12</v>
      </c>
      <c r="D27" s="6">
        <v>3.10476136027409</v>
      </c>
      <c r="E27" s="6">
        <v>-1.318095238095225</v>
      </c>
      <c r="F27" t="s">
        <v>61</v>
      </c>
      <c r="G27" t="s">
        <v>61</v>
      </c>
    </row>
    <row r="30" spans="2:16">
      <c r="B30" s="13" t="s">
        <v>64</v>
      </c>
    </row>
    <row r="32" spans="2:16">
      <c r="B32" s="3" t="s">
        <v>65</v>
      </c>
      <c r="C32" s="3" t="s">
        <v>11</v>
      </c>
      <c r="D32" s="3" t="s">
        <v>10</v>
      </c>
      <c r="E32" s="3" t="s">
        <v>13</v>
      </c>
      <c r="F32" s="3" t="s">
        <v>12</v>
      </c>
    </row>
    <row r="33" spans="2:6">
      <c r="B33" t="s">
        <v>66</v>
      </c>
      <c r="C33" s="11">
        <v>37.4</v>
      </c>
      <c r="D33" s="11">
        <v>19.3</v>
      </c>
      <c r="E33" s="11">
        <v>65</v>
      </c>
      <c r="F33" s="11">
        <v>35.2</v>
      </c>
    </row>
    <row r="34" spans="2:6">
      <c r="B34" t="s">
        <v>67</v>
      </c>
      <c r="C34" s="11">
        <v>39</v>
      </c>
      <c r="D34" s="11">
        <v>19.3</v>
      </c>
      <c r="E34" s="11">
        <v>47.8</v>
      </c>
      <c r="F34" s="11">
        <v>38.5</v>
      </c>
    </row>
    <row r="35" spans="2:6">
      <c r="B35" t="s">
        <v>68</v>
      </c>
      <c r="C35" s="11">
        <v>46.5</v>
      </c>
      <c r="D35" s="11">
        <v>17.2</v>
      </c>
      <c r="E35" s="11">
        <v>51.9</v>
      </c>
      <c r="F35" s="11">
        <v>34.7</v>
      </c>
    </row>
    <row r="36" spans="2:6">
      <c r="B36" t="s">
        <v>69</v>
      </c>
      <c r="C36" s="11">
        <v>33</v>
      </c>
      <c r="D36" s="11">
        <v>23.7</v>
      </c>
      <c r="E36" s="11">
        <v>57.2</v>
      </c>
      <c r="F36" s="11">
        <v>48.7</v>
      </c>
    </row>
    <row r="37" spans="2:6">
      <c r="B37" t="s">
        <v>70</v>
      </c>
      <c r="C37" s="11">
        <v>43.8</v>
      </c>
      <c r="D37" s="11">
        <v>19.6</v>
      </c>
      <c r="E37" s="11">
        <v>52.1</v>
      </c>
      <c r="F37" s="11">
        <v>46.1</v>
      </c>
    </row>
    <row r="38" spans="2:6">
      <c r="B38" t="s">
        <v>71</v>
      </c>
      <c r="C38" s="11">
        <v>43.9</v>
      </c>
      <c r="D38" s="11">
        <v>13.2</v>
      </c>
      <c r="E38" s="11">
        <v>52.9</v>
      </c>
      <c r="F38" s="11">
        <v>49.6</v>
      </c>
    </row>
    <row r="41" spans="2:6">
      <c r="B41" s="3" t="s">
        <v>72</v>
      </c>
      <c r="C41" s="3" t="s">
        <v>11</v>
      </c>
      <c r="D41" s="3" t="s">
        <v>10</v>
      </c>
      <c r="E41" s="3" t="s">
        <v>13</v>
      </c>
      <c r="F41" s="3" t="s">
        <v>12</v>
      </c>
    </row>
    <row r="42" spans="2:6">
      <c r="B42" t="s">
        <v>66</v>
      </c>
      <c r="C42" s="8">
        <v>89.06666666666668</v>
      </c>
      <c r="D42" s="8">
        <v>96.53333333333332</v>
      </c>
      <c r="E42" s="8">
        <v>84.5</v>
      </c>
      <c r="F42" s="8">
        <v>92.7</v>
      </c>
    </row>
    <row r="43" spans="2:6">
      <c r="B43" t="s">
        <v>67</v>
      </c>
      <c r="C43" s="8">
        <v>91.7</v>
      </c>
      <c r="D43" s="8">
        <v>96.10000000000001</v>
      </c>
      <c r="E43" s="8">
        <v>88.59999999999998</v>
      </c>
      <c r="F43" s="8">
        <v>92.53333333333332</v>
      </c>
    </row>
    <row r="44" spans="2:6">
      <c r="B44" t="s">
        <v>68</v>
      </c>
      <c r="C44" s="8">
        <v>91.23333333333335</v>
      </c>
      <c r="D44" s="8">
        <v>95.76666666666665</v>
      </c>
      <c r="E44" s="8">
        <v>88.66666666666667</v>
      </c>
      <c r="F44" s="8">
        <v>90.83333333333333</v>
      </c>
    </row>
    <row r="45" spans="2:6">
      <c r="B45" t="s">
        <v>69</v>
      </c>
      <c r="C45" s="8">
        <v>90.7</v>
      </c>
      <c r="D45" s="8">
        <v>96.03333333333335</v>
      </c>
      <c r="E45" s="8">
        <v>90.23333333333333</v>
      </c>
      <c r="F45" s="8">
        <v>89.8</v>
      </c>
    </row>
    <row r="46" spans="2:6">
      <c r="B46" t="s">
        <v>70</v>
      </c>
      <c r="C46" s="8">
        <v>90.5</v>
      </c>
      <c r="D46" s="8">
        <v>95.06666666666666</v>
      </c>
      <c r="E46" s="8">
        <v>88.09999999999998</v>
      </c>
      <c r="F46" s="8">
        <v>88</v>
      </c>
    </row>
    <row r="47" spans="2:6">
      <c r="B47" t="s">
        <v>71</v>
      </c>
      <c r="C47" s="8">
        <v>89.86666666666667</v>
      </c>
      <c r="D47" s="8">
        <v>94.5</v>
      </c>
      <c r="E47" s="8">
        <v>89</v>
      </c>
      <c r="F47" s="8">
        <v>86.40000000000002</v>
      </c>
    </row>
    <row r="50" spans="2:2">
      <c r="B50" s="10" t="s">
        <v>73</v>
      </c>
    </row>
    <row r="51" spans="2:2">
      <c r="B51" s="10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G60"/>
  <sheetViews>
    <sheetView showGridLines="0" workbookViewId="0"/>
  </sheetViews>
  <sheetFormatPr defaultRowHeight="15"/>
  <cols>
    <col min="1" max="1" width="2.7109375" customWidth="1"/>
    <col min="2" max="2" width="16.7109375" customWidth="1"/>
    <col min="3" max="3" width="12.7109375" customWidth="1"/>
    <col min="4" max="12" width="15.7109375" customWidth="1"/>
  </cols>
  <sheetData>
    <row r="2" spans="2:3">
      <c r="B2" s="1" t="s">
        <v>75</v>
      </c>
    </row>
    <row r="3" spans="2:3">
      <c r="B3" s="2" t="s">
        <v>76</v>
      </c>
    </row>
    <row r="5" spans="2:3">
      <c r="B5" s="13" t="s">
        <v>77</v>
      </c>
    </row>
    <row r="7" spans="2:3">
      <c r="B7" s="3" t="s">
        <v>78</v>
      </c>
      <c r="C7" s="3" t="s">
        <v>79</v>
      </c>
    </row>
    <row r="8" spans="2:3">
      <c r="B8" t="s">
        <v>66</v>
      </c>
      <c r="C8" s="5">
        <v>75.1799</v>
      </c>
    </row>
    <row r="9" spans="2:3">
      <c r="B9" t="s">
        <v>67</v>
      </c>
      <c r="C9" s="5">
        <v>76.0838</v>
      </c>
    </row>
    <row r="10" spans="2:3">
      <c r="B10" t="s">
        <v>68</v>
      </c>
      <c r="C10" s="5">
        <v>76.1421</v>
      </c>
    </row>
    <row r="11" spans="2:3">
      <c r="B11" t="s">
        <v>69</v>
      </c>
      <c r="C11" s="5">
        <v>75.68210000000001</v>
      </c>
    </row>
    <row r="12" spans="2:3">
      <c r="B12" t="s">
        <v>70</v>
      </c>
      <c r="C12" s="5">
        <v>76.0561</v>
      </c>
    </row>
    <row r="13" spans="2:3">
      <c r="B13" t="s">
        <v>71</v>
      </c>
      <c r="C13" s="5">
        <v>75.86499999999999</v>
      </c>
    </row>
    <row r="14" spans="2:3">
      <c r="B14" t="s">
        <v>80</v>
      </c>
      <c r="C14" s="5">
        <v>75.83</v>
      </c>
    </row>
    <row r="16" spans="2:3">
      <c r="B16" s="13" t="s">
        <v>81</v>
      </c>
    </row>
    <row r="18" spans="2:7">
      <c r="B18" s="3" t="s">
        <v>14</v>
      </c>
      <c r="C18" s="3" t="s">
        <v>82</v>
      </c>
      <c r="D18" s="3" t="s">
        <v>83</v>
      </c>
      <c r="E18" s="3" t="s">
        <v>84</v>
      </c>
      <c r="F18" s="3" t="s">
        <v>85</v>
      </c>
    </row>
    <row r="19" spans="2:7">
      <c r="B19" t="s">
        <v>11</v>
      </c>
      <c r="C19" s="8">
        <v>94.45687929272947</v>
      </c>
      <c r="D19" s="8">
        <v>18.62204595939613</v>
      </c>
      <c r="E19" s="5">
        <v>75.83</v>
      </c>
      <c r="F19" t="s">
        <v>86</v>
      </c>
    </row>
    <row r="20" spans="2:7">
      <c r="B20" t="s">
        <v>10</v>
      </c>
      <c r="C20" s="8">
        <v>99.63545651517002</v>
      </c>
      <c r="D20" s="8">
        <v>23.80062318183668</v>
      </c>
      <c r="E20" s="5">
        <v>75.83</v>
      </c>
      <c r="F20" t="s">
        <v>86</v>
      </c>
    </row>
    <row r="21" spans="2:7">
      <c r="B21" t="s">
        <v>13</v>
      </c>
      <c r="C21" s="8">
        <v>91.19379561273252</v>
      </c>
      <c r="D21" s="8">
        <v>15.35896227939918</v>
      </c>
      <c r="E21" s="5">
        <v>75.83</v>
      </c>
      <c r="F21" t="s">
        <v>86</v>
      </c>
    </row>
    <row r="22" spans="2:7">
      <c r="B22" t="s">
        <v>12</v>
      </c>
      <c r="C22" s="8">
        <v>94.64233718334465</v>
      </c>
      <c r="D22" s="8">
        <v>18.80750385001132</v>
      </c>
      <c r="E22" s="5">
        <v>75.83</v>
      </c>
      <c r="F22" t="s">
        <v>86</v>
      </c>
    </row>
    <row r="24" spans="2:7">
      <c r="B24" s="13" t="s">
        <v>87</v>
      </c>
    </row>
    <row r="25" spans="2:7">
      <c r="B25" s="10" t="s">
        <v>88</v>
      </c>
    </row>
    <row r="27" spans="2:7">
      <c r="B27" s="3" t="s">
        <v>14</v>
      </c>
      <c r="C27" s="3" t="s">
        <v>89</v>
      </c>
      <c r="D27" s="3" t="s">
        <v>90</v>
      </c>
      <c r="E27" s="3" t="s">
        <v>91</v>
      </c>
      <c r="F27" s="3" t="s">
        <v>92</v>
      </c>
      <c r="G27" s="3" t="s">
        <v>93</v>
      </c>
    </row>
    <row r="28" spans="2:7">
      <c r="B28" t="s">
        <v>11</v>
      </c>
      <c r="C28" s="11">
        <v>40.45949214026602</v>
      </c>
      <c r="D28" s="11">
        <v>15.98033134427806</v>
      </c>
      <c r="E28" s="11">
        <v>27.08774685421965</v>
      </c>
      <c r="F28" s="11">
        <v>39.04533403461026</v>
      </c>
      <c r="G28" t="s">
        <v>94</v>
      </c>
    </row>
    <row r="29" spans="2:7">
      <c r="B29" t="s">
        <v>10</v>
      </c>
      <c r="C29" s="11">
        <v>18.75240924242081</v>
      </c>
      <c r="D29" s="11">
        <v>15.98033134427806</v>
      </c>
      <c r="E29" s="11">
        <v>27.08774685421965</v>
      </c>
      <c r="F29" s="11">
        <v>39.04533403461026</v>
      </c>
      <c r="G29" t="s">
        <v>95</v>
      </c>
    </row>
    <row r="30" spans="2:7">
      <c r="B30" t="s">
        <v>13</v>
      </c>
      <c r="C30" s="11">
        <v>54.6853681165748</v>
      </c>
      <c r="D30" s="11">
        <v>15.98033134427806</v>
      </c>
      <c r="E30" s="11">
        <v>27.08774685421965</v>
      </c>
      <c r="F30" s="11">
        <v>39.04533403461026</v>
      </c>
      <c r="G30" t="s">
        <v>94</v>
      </c>
    </row>
    <row r="31" spans="2:7">
      <c r="B31" t="s">
        <v>12</v>
      </c>
      <c r="C31" s="11">
        <v>42.148129294986</v>
      </c>
      <c r="D31" s="11">
        <v>15.98033134427806</v>
      </c>
      <c r="E31" s="11">
        <v>27.08774685421965</v>
      </c>
      <c r="F31" s="11">
        <v>39.04533403461026</v>
      </c>
      <c r="G31" t="s">
        <v>94</v>
      </c>
    </row>
    <row r="33" spans="2:7">
      <c r="B33" s="13" t="s">
        <v>96</v>
      </c>
    </row>
    <row r="35" spans="2:7">
      <c r="B35" s="3" t="s">
        <v>14</v>
      </c>
      <c r="C35" s="3" t="s">
        <v>97</v>
      </c>
      <c r="D35" s="3" t="s">
        <v>98</v>
      </c>
      <c r="E35" s="3" t="s">
        <v>99</v>
      </c>
      <c r="F35" s="3" t="s">
        <v>100</v>
      </c>
      <c r="G35" s="3" t="s">
        <v>93</v>
      </c>
    </row>
    <row r="36" spans="2:7">
      <c r="B36" t="s">
        <v>11</v>
      </c>
      <c r="C36" s="5">
        <v>4.441706272369888</v>
      </c>
      <c r="D36" s="5">
        <v>1.264596645882211</v>
      </c>
      <c r="E36" s="5">
        <v>2.465150534278851</v>
      </c>
      <c r="F36" s="5">
        <v>3.774860934578757</v>
      </c>
      <c r="G36" t="s">
        <v>94</v>
      </c>
    </row>
    <row r="37" spans="2:7">
      <c r="B37" t="s">
        <v>10</v>
      </c>
      <c r="C37" s="5">
        <v>1.965755392089521</v>
      </c>
      <c r="D37" s="5">
        <v>1.264596645882211</v>
      </c>
      <c r="E37" s="5">
        <v>2.465150534278851</v>
      </c>
      <c r="F37" s="5">
        <v>3.774860934578757</v>
      </c>
      <c r="G37" t="s">
        <v>95</v>
      </c>
    </row>
    <row r="38" spans="2:7">
      <c r="B38" t="s">
        <v>13</v>
      </c>
      <c r="C38" s="5">
        <v>3.734572848212854</v>
      </c>
      <c r="D38" s="5">
        <v>1.264596645882211</v>
      </c>
      <c r="E38" s="5">
        <v>2.465150534278851</v>
      </c>
      <c r="F38" s="5">
        <v>3.774860934578757</v>
      </c>
      <c r="G38" t="s">
        <v>101</v>
      </c>
    </row>
    <row r="39" spans="2:7">
      <c r="B39" t="s">
        <v>12</v>
      </c>
      <c r="C39" s="5">
        <v>4.003118596355657</v>
      </c>
      <c r="D39" s="5">
        <v>1.264596645882211</v>
      </c>
      <c r="E39" s="5">
        <v>2.465150534278851</v>
      </c>
      <c r="F39" s="5">
        <v>3.774860934578757</v>
      </c>
      <c r="G39" t="s">
        <v>94</v>
      </c>
    </row>
    <row r="60" spans="2:2">
      <c r="B60" s="10" t="s">
        <v>102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2:K49"/>
  <sheetViews>
    <sheetView showGridLines="0" workbookViewId="0"/>
  </sheetViews>
  <sheetFormatPr defaultRowHeight="15"/>
  <cols>
    <col min="1" max="1" width="2.7109375" customWidth="1"/>
    <col min="2" max="2" width="14.7109375" customWidth="1"/>
    <col min="3" max="3" width="10.7109375" customWidth="1"/>
    <col min="4" max="11" width="12.7109375" customWidth="1"/>
    <col min="12" max="14" width="13.7109375" customWidth="1"/>
  </cols>
  <sheetData>
    <row r="2" spans="2:11">
      <c r="B2" s="1" t="s">
        <v>103</v>
      </c>
    </row>
    <row r="3" spans="2:11">
      <c r="B3" s="2" t="s">
        <v>104</v>
      </c>
    </row>
    <row r="6" spans="2:11">
      <c r="B6" s="3" t="s">
        <v>14</v>
      </c>
      <c r="C6" s="3" t="s">
        <v>78</v>
      </c>
      <c r="D6" s="3" t="s">
        <v>15</v>
      </c>
      <c r="E6" s="3" t="s">
        <v>105</v>
      </c>
      <c r="F6" s="3" t="s">
        <v>106</v>
      </c>
      <c r="G6" s="3" t="s">
        <v>107</v>
      </c>
      <c r="H6" s="3" t="s">
        <v>108</v>
      </c>
      <c r="I6" s="3" t="s">
        <v>109</v>
      </c>
      <c r="J6" s="3" t="s">
        <v>110</v>
      </c>
      <c r="K6" s="3" t="s">
        <v>111</v>
      </c>
    </row>
    <row r="7" spans="2:11">
      <c r="B7" t="s">
        <v>11</v>
      </c>
      <c r="C7" t="s">
        <v>66</v>
      </c>
      <c r="D7" s="4">
        <v>6792</v>
      </c>
      <c r="E7" s="11">
        <v>133</v>
      </c>
      <c r="F7" s="4">
        <v>254</v>
      </c>
      <c r="G7" s="4">
        <v>7</v>
      </c>
      <c r="H7" s="6">
        <v>2.714285714285714</v>
      </c>
      <c r="I7" s="11">
        <v>19</v>
      </c>
      <c r="J7" s="6">
        <v>1.030624263839812</v>
      </c>
      <c r="K7" s="11">
        <v>12.57142857142857</v>
      </c>
    </row>
    <row r="8" spans="2:11">
      <c r="B8" t="s">
        <v>11</v>
      </c>
      <c r="C8" t="s">
        <v>67</v>
      </c>
      <c r="D8" s="4">
        <v>6336</v>
      </c>
      <c r="E8" s="11">
        <v>144</v>
      </c>
      <c r="F8" s="4">
        <v>247</v>
      </c>
      <c r="G8" s="4">
        <v>2</v>
      </c>
      <c r="H8" s="6">
        <v>2.5</v>
      </c>
      <c r="I8" s="11">
        <v>5</v>
      </c>
      <c r="J8" s="6">
        <v>0.3156565656565656</v>
      </c>
      <c r="K8" s="11">
        <v>13.5</v>
      </c>
    </row>
    <row r="9" spans="2:11">
      <c r="B9" t="s">
        <v>11</v>
      </c>
      <c r="C9" t="s">
        <v>68</v>
      </c>
      <c r="D9" s="4">
        <v>7501</v>
      </c>
      <c r="E9" s="11">
        <v>139.1</v>
      </c>
      <c r="F9" s="4">
        <v>349</v>
      </c>
      <c r="G9" s="4">
        <v>2</v>
      </c>
      <c r="H9" s="6">
        <v>3</v>
      </c>
      <c r="I9" s="11">
        <v>6</v>
      </c>
      <c r="J9" s="6">
        <v>0.2666311158512198</v>
      </c>
      <c r="K9" s="11">
        <v>11.5</v>
      </c>
    </row>
    <row r="10" spans="2:11">
      <c r="B10" t="s">
        <v>11</v>
      </c>
      <c r="C10" t="s">
        <v>69</v>
      </c>
      <c r="D10" s="4">
        <v>7878</v>
      </c>
      <c r="E10" s="11">
        <v>142.3</v>
      </c>
      <c r="F10" s="4">
        <v>260</v>
      </c>
      <c r="G10" s="4">
        <v>1</v>
      </c>
      <c r="H10" s="6">
        <v>3</v>
      </c>
      <c r="I10" s="11">
        <v>3</v>
      </c>
      <c r="J10" s="6">
        <v>0.1269357705001269</v>
      </c>
      <c r="K10" s="11">
        <v>9</v>
      </c>
    </row>
    <row r="11" spans="2:11">
      <c r="B11" t="s">
        <v>11</v>
      </c>
      <c r="C11" t="s">
        <v>70</v>
      </c>
      <c r="D11" s="4">
        <v>6307</v>
      </c>
      <c r="E11" s="11">
        <v>108.2</v>
      </c>
      <c r="F11" s="4">
        <v>276</v>
      </c>
      <c r="G11" s="4">
        <v>0</v>
      </c>
      <c r="H11" s="6">
        <v>0</v>
      </c>
      <c r="I11" s="11">
        <v>0</v>
      </c>
      <c r="J11" s="6">
        <v>0</v>
      </c>
    </row>
    <row r="12" spans="2:11">
      <c r="B12" t="s">
        <v>11</v>
      </c>
      <c r="C12" t="s">
        <v>71</v>
      </c>
      <c r="D12" s="4">
        <v>6536</v>
      </c>
      <c r="E12" s="11">
        <v>90.40000000000001</v>
      </c>
      <c r="F12" s="4">
        <v>287</v>
      </c>
      <c r="G12" s="4">
        <v>3</v>
      </c>
      <c r="H12" s="6">
        <v>2.333333333333333</v>
      </c>
      <c r="I12" s="11">
        <v>7</v>
      </c>
      <c r="J12" s="6">
        <v>0.4589963280293758</v>
      </c>
      <c r="K12" s="11">
        <v>3.666666666666667</v>
      </c>
    </row>
    <row r="13" spans="2:11">
      <c r="B13" t="s">
        <v>10</v>
      </c>
      <c r="C13" t="s">
        <v>66</v>
      </c>
      <c r="D13" s="4">
        <v>6578</v>
      </c>
      <c r="E13" s="11">
        <v>53.5</v>
      </c>
      <c r="F13" s="4">
        <v>127</v>
      </c>
      <c r="G13" s="4">
        <v>3</v>
      </c>
      <c r="H13" s="6">
        <v>1.666666666666667</v>
      </c>
      <c r="I13" s="11">
        <v>5</v>
      </c>
      <c r="J13" s="6">
        <v>0.4560656734569778</v>
      </c>
      <c r="K13" s="11">
        <v>3.666666666666667</v>
      </c>
    </row>
    <row r="14" spans="2:11">
      <c r="B14" t="s">
        <v>10</v>
      </c>
      <c r="C14" t="s">
        <v>67</v>
      </c>
      <c r="D14" s="4">
        <v>6572</v>
      </c>
      <c r="E14" s="11">
        <v>64</v>
      </c>
      <c r="F14" s="4">
        <v>127</v>
      </c>
      <c r="G14" s="4">
        <v>2</v>
      </c>
      <c r="H14" s="6">
        <v>2</v>
      </c>
      <c r="I14" s="11">
        <v>4</v>
      </c>
      <c r="J14" s="6">
        <v>0.3043213633597078</v>
      </c>
      <c r="K14" s="11">
        <v>5</v>
      </c>
    </row>
    <row r="15" spans="2:11">
      <c r="B15" t="s">
        <v>10</v>
      </c>
      <c r="C15" t="s">
        <v>68</v>
      </c>
      <c r="D15" s="4">
        <v>6860</v>
      </c>
      <c r="E15" s="11">
        <v>57.8</v>
      </c>
      <c r="F15" s="4">
        <v>118</v>
      </c>
      <c r="G15" s="4">
        <v>0</v>
      </c>
      <c r="H15" s="6">
        <v>0</v>
      </c>
      <c r="I15" s="11">
        <v>0</v>
      </c>
      <c r="J15" s="6">
        <v>0</v>
      </c>
    </row>
    <row r="16" spans="2:11">
      <c r="B16" t="s">
        <v>10</v>
      </c>
      <c r="C16" t="s">
        <v>69</v>
      </c>
      <c r="D16" s="4">
        <v>7722</v>
      </c>
      <c r="E16" s="11">
        <v>49.3</v>
      </c>
      <c r="F16" s="4">
        <v>183</v>
      </c>
      <c r="G16" s="4">
        <v>1</v>
      </c>
      <c r="H16" s="6">
        <v>2</v>
      </c>
      <c r="I16" s="11">
        <v>2</v>
      </c>
      <c r="J16" s="6">
        <v>0.1295001295001295</v>
      </c>
      <c r="K16" s="11">
        <v>4</v>
      </c>
    </row>
    <row r="17" spans="2:11">
      <c r="B17" t="s">
        <v>10</v>
      </c>
      <c r="C17" t="s">
        <v>70</v>
      </c>
      <c r="D17" s="4">
        <v>8664</v>
      </c>
      <c r="E17" s="11">
        <v>43.8</v>
      </c>
      <c r="F17" s="4">
        <v>170</v>
      </c>
      <c r="G17" s="4">
        <v>2</v>
      </c>
      <c r="H17" s="6">
        <v>1.5</v>
      </c>
      <c r="I17" s="11">
        <v>3</v>
      </c>
      <c r="J17" s="6">
        <v>0.2308402585410896</v>
      </c>
      <c r="K17" s="11">
        <v>1.5</v>
      </c>
    </row>
    <row r="18" spans="2:11">
      <c r="B18" t="s">
        <v>10</v>
      </c>
      <c r="C18" t="s">
        <v>71</v>
      </c>
      <c r="D18" s="4">
        <v>7705</v>
      </c>
      <c r="E18" s="11">
        <v>46.4</v>
      </c>
      <c r="F18" s="4">
        <v>102</v>
      </c>
      <c r="G18" s="4">
        <v>0</v>
      </c>
      <c r="H18" s="6">
        <v>0</v>
      </c>
      <c r="I18" s="11">
        <v>0</v>
      </c>
      <c r="J18" s="6">
        <v>0</v>
      </c>
    </row>
    <row r="19" spans="2:11">
      <c r="B19" t="s">
        <v>13</v>
      </c>
      <c r="C19" t="s">
        <v>66</v>
      </c>
      <c r="D19" s="4">
        <v>7042</v>
      </c>
      <c r="E19" s="11">
        <v>68</v>
      </c>
      <c r="F19" s="4">
        <v>458</v>
      </c>
      <c r="G19" s="4">
        <v>4</v>
      </c>
      <c r="H19" s="6">
        <v>3</v>
      </c>
      <c r="I19" s="11">
        <v>12</v>
      </c>
      <c r="J19" s="6">
        <v>0.5680204487361545</v>
      </c>
      <c r="K19" s="11">
        <v>22.75</v>
      </c>
    </row>
    <row r="20" spans="2:11">
      <c r="B20" t="s">
        <v>13</v>
      </c>
      <c r="C20" t="s">
        <v>67</v>
      </c>
      <c r="D20" s="4">
        <v>6299</v>
      </c>
      <c r="E20" s="11">
        <v>72</v>
      </c>
      <c r="F20" s="4">
        <v>301</v>
      </c>
      <c r="G20" s="4">
        <v>0</v>
      </c>
      <c r="H20" s="6">
        <v>0</v>
      </c>
      <c r="I20" s="11">
        <v>0</v>
      </c>
      <c r="J20" s="6">
        <v>0</v>
      </c>
    </row>
    <row r="21" spans="2:11">
      <c r="B21" t="s">
        <v>13</v>
      </c>
      <c r="C21" t="s">
        <v>68</v>
      </c>
      <c r="D21" s="4">
        <v>6243</v>
      </c>
      <c r="E21" s="11">
        <v>75.90000000000001</v>
      </c>
      <c r="F21" s="4">
        <v>324</v>
      </c>
      <c r="G21" s="4">
        <v>3</v>
      </c>
      <c r="H21" s="6">
        <v>2.666666666666667</v>
      </c>
      <c r="I21" s="11">
        <v>8</v>
      </c>
      <c r="J21" s="6">
        <v>0.4805382027871216</v>
      </c>
      <c r="K21" s="11">
        <v>16.66666666666667</v>
      </c>
    </row>
    <row r="22" spans="2:11">
      <c r="B22" t="s">
        <v>13</v>
      </c>
      <c r="C22" t="s">
        <v>69</v>
      </c>
      <c r="D22" s="4">
        <v>5352</v>
      </c>
      <c r="E22" s="11">
        <v>74.5</v>
      </c>
      <c r="F22" s="4">
        <v>306</v>
      </c>
      <c r="G22" s="4">
        <v>2</v>
      </c>
      <c r="H22" s="6">
        <v>3</v>
      </c>
      <c r="I22" s="11">
        <v>6</v>
      </c>
      <c r="J22" s="6">
        <v>0.3736920777279522</v>
      </c>
      <c r="K22" s="11">
        <v>7.5</v>
      </c>
    </row>
    <row r="23" spans="2:11">
      <c r="B23" t="s">
        <v>13</v>
      </c>
      <c r="C23" t="s">
        <v>70</v>
      </c>
      <c r="D23" s="4">
        <v>5108</v>
      </c>
      <c r="E23" s="11">
        <v>136.1</v>
      </c>
      <c r="F23" s="4">
        <v>266</v>
      </c>
      <c r="G23" s="4">
        <v>5</v>
      </c>
      <c r="H23" s="6">
        <v>3</v>
      </c>
      <c r="I23" s="11">
        <v>15</v>
      </c>
      <c r="J23" s="6">
        <v>0.9788566953797964</v>
      </c>
      <c r="K23" s="11">
        <v>17.2</v>
      </c>
    </row>
    <row r="24" spans="2:11">
      <c r="B24" t="s">
        <v>13</v>
      </c>
      <c r="C24" t="s">
        <v>71</v>
      </c>
      <c r="D24" s="4">
        <v>6602</v>
      </c>
      <c r="E24" s="11">
        <v>86.10000000000001</v>
      </c>
      <c r="F24" s="4">
        <v>349</v>
      </c>
      <c r="G24" s="4">
        <v>4</v>
      </c>
      <c r="H24" s="6">
        <v>2.75</v>
      </c>
      <c r="I24" s="11">
        <v>11</v>
      </c>
      <c r="J24" s="6">
        <v>0.6058770069675856</v>
      </c>
      <c r="K24" s="11">
        <v>3</v>
      </c>
    </row>
    <row r="25" spans="2:11">
      <c r="B25" t="s">
        <v>12</v>
      </c>
      <c r="C25" t="s">
        <v>66</v>
      </c>
      <c r="D25" s="4">
        <v>5828</v>
      </c>
      <c r="E25" s="11">
        <v>91.7</v>
      </c>
      <c r="F25" s="4">
        <v>205</v>
      </c>
      <c r="G25" s="4">
        <v>1</v>
      </c>
      <c r="H25" s="6">
        <v>3</v>
      </c>
      <c r="I25" s="11">
        <v>3</v>
      </c>
      <c r="J25" s="6">
        <v>0.1715854495538778</v>
      </c>
      <c r="K25" s="11">
        <v>22</v>
      </c>
    </row>
    <row r="26" spans="2:11">
      <c r="B26" t="s">
        <v>12</v>
      </c>
      <c r="C26" t="s">
        <v>67</v>
      </c>
      <c r="D26" s="4">
        <v>7661</v>
      </c>
      <c r="E26" s="11">
        <v>82.5</v>
      </c>
      <c r="F26" s="4">
        <v>295</v>
      </c>
      <c r="G26" s="4">
        <v>3</v>
      </c>
      <c r="H26" s="6">
        <v>2.666666666666667</v>
      </c>
      <c r="I26" s="11">
        <v>8</v>
      </c>
      <c r="J26" s="6">
        <v>0.3915937867119175</v>
      </c>
      <c r="K26" s="11">
        <v>19.33333333333333</v>
      </c>
    </row>
    <row r="27" spans="2:11">
      <c r="B27" t="s">
        <v>12</v>
      </c>
      <c r="C27" t="s">
        <v>68</v>
      </c>
      <c r="D27" s="4">
        <v>6250</v>
      </c>
      <c r="E27" s="11">
        <v>88.2</v>
      </c>
      <c r="F27" s="4">
        <v>217</v>
      </c>
      <c r="G27" s="4">
        <v>3</v>
      </c>
      <c r="H27" s="6">
        <v>2</v>
      </c>
      <c r="I27" s="11">
        <v>6</v>
      </c>
      <c r="J27" s="6">
        <v>0.48</v>
      </c>
      <c r="K27" s="11">
        <v>15.33333333333333</v>
      </c>
    </row>
    <row r="28" spans="2:11">
      <c r="B28" t="s">
        <v>12</v>
      </c>
      <c r="C28" t="s">
        <v>69</v>
      </c>
      <c r="D28" s="4">
        <v>6855</v>
      </c>
      <c r="E28" s="11">
        <v>82.3</v>
      </c>
      <c r="F28" s="4">
        <v>334</v>
      </c>
      <c r="G28" s="4">
        <v>5</v>
      </c>
      <c r="H28" s="6">
        <v>2.6</v>
      </c>
      <c r="I28" s="11">
        <v>13</v>
      </c>
      <c r="J28" s="6">
        <v>0.7293946024799417</v>
      </c>
      <c r="K28" s="11">
        <v>21.2</v>
      </c>
    </row>
    <row r="29" spans="2:11">
      <c r="B29" t="s">
        <v>12</v>
      </c>
      <c r="C29" t="s">
        <v>70</v>
      </c>
      <c r="D29" s="4">
        <v>6947</v>
      </c>
      <c r="E29" s="11">
        <v>103.5</v>
      </c>
      <c r="F29" s="4">
        <v>320</v>
      </c>
      <c r="G29" s="4">
        <v>6</v>
      </c>
      <c r="H29" s="6">
        <v>2.666666666666667</v>
      </c>
      <c r="I29" s="11">
        <v>16</v>
      </c>
      <c r="J29" s="6">
        <v>0.8636821649632935</v>
      </c>
      <c r="K29" s="11">
        <v>22.66666666666667</v>
      </c>
    </row>
    <row r="30" spans="2:11">
      <c r="B30" t="s">
        <v>12</v>
      </c>
      <c r="C30" t="s">
        <v>71</v>
      </c>
      <c r="D30" s="4">
        <v>5749</v>
      </c>
      <c r="E30" s="11">
        <v>132</v>
      </c>
      <c r="F30" s="4">
        <v>285</v>
      </c>
      <c r="G30" s="4">
        <v>2</v>
      </c>
      <c r="H30" s="6">
        <v>3.5</v>
      </c>
      <c r="I30" s="11">
        <v>7</v>
      </c>
      <c r="J30" s="6">
        <v>0.3478865889719951</v>
      </c>
      <c r="K30" s="11">
        <v>0</v>
      </c>
    </row>
    <row r="32" spans="2:11">
      <c r="B32" s="13" t="s">
        <v>112</v>
      </c>
    </row>
    <row r="34" spans="2:8">
      <c r="B34" s="3" t="s">
        <v>113</v>
      </c>
      <c r="C34" s="3" t="s">
        <v>114</v>
      </c>
      <c r="D34" s="3" t="s">
        <v>115</v>
      </c>
    </row>
    <row r="35" spans="2:8">
      <c r="B35" t="s">
        <v>116</v>
      </c>
      <c r="C35" s="6">
        <v>0.2850749582343498</v>
      </c>
      <c r="D35" t="s">
        <v>117</v>
      </c>
    </row>
    <row r="36" spans="2:8">
      <c r="B36" t="s">
        <v>118</v>
      </c>
      <c r="C36" s="6">
        <v>0.3821816782462584</v>
      </c>
      <c r="D36" t="s">
        <v>119</v>
      </c>
    </row>
    <row r="37" spans="2:8">
      <c r="B37" t="s">
        <v>120</v>
      </c>
      <c r="C37" s="6">
        <v>0.4971826428011615</v>
      </c>
      <c r="D37" t="s">
        <v>121</v>
      </c>
    </row>
    <row r="38" spans="2:8">
      <c r="B38" t="s">
        <v>122</v>
      </c>
      <c r="C38" s="6">
        <v>0.3300144974741366</v>
      </c>
      <c r="D38" t="s">
        <v>117</v>
      </c>
    </row>
    <row r="40" spans="2:8">
      <c r="B40" s="13" t="s">
        <v>123</v>
      </c>
    </row>
    <row r="42" spans="2:8">
      <c r="B42" s="3" t="s">
        <v>14</v>
      </c>
      <c r="C42" s="3" t="s">
        <v>124</v>
      </c>
      <c r="D42" s="3" t="s">
        <v>108</v>
      </c>
      <c r="E42" s="3" t="s">
        <v>125</v>
      </c>
      <c r="F42" s="3" t="s">
        <v>126</v>
      </c>
      <c r="G42" s="3" t="s">
        <v>111</v>
      </c>
      <c r="H42" s="3" t="s">
        <v>110</v>
      </c>
    </row>
    <row r="43" spans="2:8">
      <c r="B43" t="s">
        <v>11</v>
      </c>
      <c r="C43">
        <v>15</v>
      </c>
      <c r="D43" s="6">
        <v>2.666666666666667</v>
      </c>
      <c r="E43">
        <v>1</v>
      </c>
      <c r="F43">
        <v>2</v>
      </c>
      <c r="G43" s="11">
        <v>10.53333333333333</v>
      </c>
      <c r="H43" s="6">
        <v>0.3627569528415961</v>
      </c>
    </row>
    <row r="44" spans="2:8">
      <c r="B44" t="s">
        <v>10</v>
      </c>
      <c r="C44">
        <v>8</v>
      </c>
      <c r="D44" s="6">
        <v>1.75</v>
      </c>
      <c r="E44">
        <v>0</v>
      </c>
      <c r="F44">
        <v>2</v>
      </c>
      <c r="G44" s="11">
        <v>3.5</v>
      </c>
      <c r="H44" s="6">
        <v>0.1814017822725108</v>
      </c>
    </row>
    <row r="45" spans="2:8">
      <c r="B45" t="s">
        <v>13</v>
      </c>
      <c r="C45">
        <v>18</v>
      </c>
      <c r="D45" s="6">
        <v>2.888888888888889</v>
      </c>
      <c r="E45">
        <v>7</v>
      </c>
      <c r="F45">
        <v>4</v>
      </c>
      <c r="G45" s="11">
        <v>14.11111111111111</v>
      </c>
      <c r="H45" s="6">
        <v>0.4911859411668395</v>
      </c>
    </row>
    <row r="46" spans="2:8">
      <c r="B46" t="s">
        <v>12</v>
      </c>
      <c r="C46">
        <v>20</v>
      </c>
      <c r="D46" s="6">
        <v>2.65</v>
      </c>
      <c r="E46">
        <v>5</v>
      </c>
      <c r="F46">
        <v>2</v>
      </c>
      <c r="G46" s="11">
        <v>18.4</v>
      </c>
      <c r="H46" s="6">
        <v>0.5090353779587682</v>
      </c>
    </row>
    <row r="49" spans="2:2">
      <c r="B49" s="10" t="s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O63"/>
  <sheetViews>
    <sheetView showGridLines="0" workbookViewId="0"/>
  </sheetViews>
  <sheetFormatPr defaultRowHeight="15"/>
  <cols>
    <col min="1" max="1" width="2.7109375" customWidth="1"/>
    <col min="2" max="2" width="14.7109375" customWidth="1"/>
    <col min="3" max="3" width="12.7109375" customWidth="1"/>
    <col min="4" max="4" width="24.7109375" customWidth="1"/>
    <col min="5" max="10" width="12.7109375" customWidth="1"/>
    <col min="11" max="11" width="18.7109375" customWidth="1"/>
    <col min="12" max="15" width="12.7109375" customWidth="1"/>
  </cols>
  <sheetData>
    <row r="2" spans="2:15">
      <c r="B2" s="1" t="s">
        <v>128</v>
      </c>
    </row>
    <row r="3" spans="2:15">
      <c r="B3" s="2" t="s">
        <v>129</v>
      </c>
    </row>
    <row r="6" spans="2:15">
      <c r="B6" s="3" t="s">
        <v>14</v>
      </c>
      <c r="C6" s="3" t="s">
        <v>130</v>
      </c>
      <c r="D6" s="3" t="s">
        <v>131</v>
      </c>
      <c r="E6" s="3" t="s">
        <v>132</v>
      </c>
      <c r="F6" s="3" t="s">
        <v>133</v>
      </c>
      <c r="G6" s="3" t="s">
        <v>134</v>
      </c>
      <c r="H6" s="3" t="s">
        <v>135</v>
      </c>
      <c r="I6" s="3" t="s">
        <v>136</v>
      </c>
      <c r="J6" s="3" t="s">
        <v>137</v>
      </c>
      <c r="K6" s="3" t="s">
        <v>138</v>
      </c>
      <c r="L6" s="3" t="s">
        <v>139</v>
      </c>
      <c r="M6" s="3" t="s">
        <v>140</v>
      </c>
      <c r="N6" s="3" t="s">
        <v>141</v>
      </c>
      <c r="O6" s="3" t="s">
        <v>89</v>
      </c>
    </row>
    <row r="7" spans="2:15">
      <c r="B7" t="s">
        <v>11</v>
      </c>
      <c r="C7" t="s">
        <v>142</v>
      </c>
      <c r="D7" t="s">
        <v>143</v>
      </c>
      <c r="E7" s="4">
        <v>2016</v>
      </c>
      <c r="F7" s="4">
        <v>8</v>
      </c>
      <c r="G7" t="s">
        <v>144</v>
      </c>
      <c r="H7" s="4">
        <v>6</v>
      </c>
      <c r="I7" s="4">
        <v>7</v>
      </c>
      <c r="J7" s="11">
        <v>19.5</v>
      </c>
      <c r="K7" t="s">
        <v>145</v>
      </c>
      <c r="L7" s="11">
        <v>15.5</v>
      </c>
      <c r="M7" s="9">
        <v>270551</v>
      </c>
      <c r="N7" s="11">
        <v>757</v>
      </c>
      <c r="O7" s="11">
        <v>40.45949214026602</v>
      </c>
    </row>
    <row r="8" spans="2:15">
      <c r="B8" t="s">
        <v>12</v>
      </c>
      <c r="C8" t="s">
        <v>146</v>
      </c>
      <c r="D8" t="s">
        <v>147</v>
      </c>
      <c r="E8" s="4">
        <v>2016</v>
      </c>
      <c r="F8" s="4">
        <v>8</v>
      </c>
      <c r="G8" t="s">
        <v>148</v>
      </c>
      <c r="H8" s="4">
        <v>5</v>
      </c>
      <c r="I8" s="4">
        <v>8</v>
      </c>
      <c r="J8" s="11">
        <v>17.3</v>
      </c>
      <c r="K8" t="s">
        <v>145</v>
      </c>
      <c r="L8" s="11">
        <v>14</v>
      </c>
      <c r="M8" s="9">
        <v>540084</v>
      </c>
      <c r="N8" s="11">
        <v>580.1999999999999</v>
      </c>
      <c r="O8" s="11">
        <v>42.148129294986</v>
      </c>
    </row>
    <row r="9" spans="2:15">
      <c r="B9" t="s">
        <v>12</v>
      </c>
      <c r="C9" t="s">
        <v>149</v>
      </c>
      <c r="D9" t="s">
        <v>150</v>
      </c>
      <c r="E9" s="4">
        <v>2016</v>
      </c>
      <c r="F9" s="4">
        <v>8</v>
      </c>
      <c r="G9" t="s">
        <v>151</v>
      </c>
      <c r="H9" s="4">
        <v>5</v>
      </c>
      <c r="I9" s="4">
        <v>8</v>
      </c>
      <c r="J9" s="11">
        <v>16.9</v>
      </c>
      <c r="K9" t="s">
        <v>145</v>
      </c>
      <c r="L9" s="11">
        <v>14</v>
      </c>
      <c r="M9" s="9">
        <v>273481</v>
      </c>
      <c r="N9" s="11">
        <v>580.1999999999999</v>
      </c>
      <c r="O9" s="11">
        <v>42.148129294986</v>
      </c>
    </row>
    <row r="10" spans="2:15">
      <c r="B10" t="s">
        <v>12</v>
      </c>
      <c r="C10" t="s">
        <v>152</v>
      </c>
      <c r="D10" t="s">
        <v>153</v>
      </c>
      <c r="E10" s="4">
        <v>2017</v>
      </c>
      <c r="F10" s="4">
        <v>7</v>
      </c>
      <c r="G10" t="s">
        <v>154</v>
      </c>
      <c r="H10" s="4">
        <v>5</v>
      </c>
      <c r="I10" s="4">
        <v>8</v>
      </c>
      <c r="J10" s="11">
        <v>17.3</v>
      </c>
      <c r="K10" t="s">
        <v>145</v>
      </c>
      <c r="L10" s="11">
        <v>13</v>
      </c>
      <c r="M10" s="9">
        <v>183958</v>
      </c>
      <c r="N10" s="11">
        <v>580.1999999999999</v>
      </c>
      <c r="O10" s="11">
        <v>42.148129294986</v>
      </c>
    </row>
    <row r="11" spans="2:15">
      <c r="B11" t="s">
        <v>10</v>
      </c>
      <c r="C11" t="s">
        <v>155</v>
      </c>
      <c r="D11" t="s">
        <v>156</v>
      </c>
      <c r="E11" s="4">
        <v>2018</v>
      </c>
      <c r="F11" s="4">
        <v>6</v>
      </c>
      <c r="G11" t="s">
        <v>154</v>
      </c>
      <c r="H11" s="4">
        <v>5</v>
      </c>
      <c r="I11" s="4">
        <v>8</v>
      </c>
      <c r="J11" s="11">
        <v>7.9</v>
      </c>
      <c r="K11" t="s">
        <v>145</v>
      </c>
      <c r="L11" s="11">
        <v>12</v>
      </c>
      <c r="M11" s="9">
        <v>288699</v>
      </c>
      <c r="N11" s="11">
        <v>314.8</v>
      </c>
      <c r="O11" s="11">
        <v>18.75240924242081</v>
      </c>
    </row>
    <row r="12" spans="2:15">
      <c r="B12" t="s">
        <v>13</v>
      </c>
      <c r="C12" t="s">
        <v>157</v>
      </c>
      <c r="D12" t="s">
        <v>158</v>
      </c>
      <c r="E12" s="4">
        <v>2021</v>
      </c>
      <c r="F12" s="4">
        <v>3</v>
      </c>
      <c r="G12" t="s">
        <v>159</v>
      </c>
      <c r="H12" s="4">
        <v>1</v>
      </c>
      <c r="I12" s="4">
        <v>4</v>
      </c>
      <c r="J12" s="11">
        <v>17.9</v>
      </c>
      <c r="K12" t="s">
        <v>145</v>
      </c>
      <c r="L12" s="11">
        <v>12</v>
      </c>
      <c r="M12" s="9">
        <v>510000</v>
      </c>
      <c r="N12" s="11">
        <v>512.6</v>
      </c>
      <c r="O12" s="11">
        <v>54.6853681165748</v>
      </c>
    </row>
    <row r="13" spans="2:15">
      <c r="B13" t="s">
        <v>12</v>
      </c>
      <c r="C13" t="s">
        <v>160</v>
      </c>
      <c r="D13" t="s">
        <v>161</v>
      </c>
      <c r="E13" s="4">
        <v>2020</v>
      </c>
      <c r="F13" s="4">
        <v>4</v>
      </c>
      <c r="G13" t="s">
        <v>162</v>
      </c>
      <c r="H13" s="4">
        <v>2</v>
      </c>
      <c r="I13" s="4">
        <v>5</v>
      </c>
      <c r="J13" s="11">
        <v>6.6</v>
      </c>
      <c r="K13" t="s">
        <v>145</v>
      </c>
      <c r="L13" s="11">
        <v>11.5</v>
      </c>
      <c r="M13" s="9">
        <v>397459</v>
      </c>
      <c r="N13" s="11">
        <v>580.1999999999999</v>
      </c>
      <c r="O13" s="11">
        <v>42.148129294986</v>
      </c>
    </row>
    <row r="14" spans="2:15">
      <c r="B14" t="s">
        <v>13</v>
      </c>
      <c r="C14" t="s">
        <v>163</v>
      </c>
      <c r="D14" t="s">
        <v>164</v>
      </c>
      <c r="E14" s="4">
        <v>2022</v>
      </c>
      <c r="F14" s="4">
        <v>2</v>
      </c>
      <c r="G14" t="s">
        <v>165</v>
      </c>
      <c r="H14" s="4">
        <v>0</v>
      </c>
      <c r="I14" s="4">
        <v>4</v>
      </c>
      <c r="J14" s="11">
        <v>20.9</v>
      </c>
      <c r="K14" t="s">
        <v>145</v>
      </c>
      <c r="L14" s="11">
        <v>11</v>
      </c>
      <c r="M14" s="9">
        <v>721691</v>
      </c>
      <c r="N14" s="11">
        <v>512.6</v>
      </c>
      <c r="O14" s="11">
        <v>54.6853681165748</v>
      </c>
    </row>
    <row r="15" spans="2:15">
      <c r="B15" t="s">
        <v>13</v>
      </c>
      <c r="C15" t="s">
        <v>166</v>
      </c>
      <c r="D15" t="s">
        <v>167</v>
      </c>
      <c r="E15" s="4">
        <v>2022</v>
      </c>
      <c r="F15" s="4">
        <v>2</v>
      </c>
      <c r="G15" t="s">
        <v>168</v>
      </c>
      <c r="H15" s="4">
        <v>1</v>
      </c>
      <c r="I15" s="4">
        <v>4</v>
      </c>
      <c r="J15" s="11">
        <v>13.4</v>
      </c>
      <c r="K15" t="s">
        <v>145</v>
      </c>
      <c r="L15" s="11">
        <v>11</v>
      </c>
      <c r="M15" s="9">
        <v>868480</v>
      </c>
      <c r="N15" s="11">
        <v>512.6</v>
      </c>
      <c r="O15" s="11">
        <v>54.6853681165748</v>
      </c>
    </row>
    <row r="16" spans="2:15">
      <c r="B16" t="s">
        <v>12</v>
      </c>
      <c r="C16" t="s">
        <v>169</v>
      </c>
      <c r="D16" t="s">
        <v>170</v>
      </c>
      <c r="E16" s="4">
        <v>2020</v>
      </c>
      <c r="F16" s="4">
        <v>4</v>
      </c>
      <c r="G16" t="s">
        <v>162</v>
      </c>
      <c r="H16" s="4">
        <v>2</v>
      </c>
      <c r="I16" s="4">
        <v>6</v>
      </c>
      <c r="J16" s="11">
        <v>17.5</v>
      </c>
      <c r="K16" t="s">
        <v>145</v>
      </c>
      <c r="L16" s="11">
        <v>10</v>
      </c>
      <c r="M16" s="9">
        <v>177172</v>
      </c>
      <c r="N16" s="11">
        <v>580.1999999999999</v>
      </c>
      <c r="O16" s="11">
        <v>42.148129294986</v>
      </c>
    </row>
    <row r="17" spans="2:15">
      <c r="B17" t="s">
        <v>12</v>
      </c>
      <c r="C17" t="s">
        <v>171</v>
      </c>
      <c r="D17" t="s">
        <v>167</v>
      </c>
      <c r="E17" s="4">
        <v>2017</v>
      </c>
      <c r="F17" s="4">
        <v>7</v>
      </c>
      <c r="G17" t="s">
        <v>172</v>
      </c>
      <c r="H17" s="4">
        <v>4</v>
      </c>
      <c r="I17" s="4">
        <v>8</v>
      </c>
      <c r="J17" s="11">
        <v>7.8</v>
      </c>
      <c r="K17" t="s">
        <v>145</v>
      </c>
      <c r="L17" s="11">
        <v>10</v>
      </c>
      <c r="M17" s="9">
        <v>449449</v>
      </c>
      <c r="N17" s="11">
        <v>580.1999999999999</v>
      </c>
      <c r="O17" s="11">
        <v>42.148129294986</v>
      </c>
    </row>
    <row r="18" spans="2:15">
      <c r="B18" t="s">
        <v>10</v>
      </c>
      <c r="C18" t="s">
        <v>173</v>
      </c>
      <c r="D18" t="s">
        <v>153</v>
      </c>
      <c r="E18" s="4">
        <v>2019</v>
      </c>
      <c r="F18" s="4">
        <v>5</v>
      </c>
      <c r="G18" t="s">
        <v>174</v>
      </c>
      <c r="H18" s="4">
        <v>4</v>
      </c>
      <c r="I18" s="4">
        <v>7</v>
      </c>
      <c r="J18" s="11">
        <v>7.7</v>
      </c>
      <c r="K18" t="s">
        <v>145</v>
      </c>
      <c r="L18" s="11">
        <v>9.5</v>
      </c>
      <c r="M18" s="9">
        <v>659911</v>
      </c>
      <c r="N18" s="11">
        <v>314.8</v>
      </c>
      <c r="O18" s="11">
        <v>18.75240924242081</v>
      </c>
    </row>
    <row r="19" spans="2:15">
      <c r="B19" t="s">
        <v>13</v>
      </c>
      <c r="C19" t="s">
        <v>175</v>
      </c>
      <c r="D19" t="s">
        <v>147</v>
      </c>
      <c r="E19" s="4">
        <v>2022</v>
      </c>
      <c r="F19" s="4">
        <v>2</v>
      </c>
      <c r="G19" t="s">
        <v>176</v>
      </c>
      <c r="H19" s="4">
        <v>1</v>
      </c>
      <c r="I19" s="4">
        <v>5</v>
      </c>
      <c r="J19" s="11">
        <v>18.3</v>
      </c>
      <c r="K19" t="s">
        <v>145</v>
      </c>
      <c r="L19" s="11">
        <v>9.5</v>
      </c>
      <c r="M19" s="9">
        <v>244412</v>
      </c>
      <c r="N19" s="11">
        <v>512.6</v>
      </c>
      <c r="O19" s="11">
        <v>54.6853681165748</v>
      </c>
    </row>
    <row r="20" spans="2:15">
      <c r="B20" t="s">
        <v>13</v>
      </c>
      <c r="C20" t="s">
        <v>177</v>
      </c>
      <c r="D20" t="s">
        <v>178</v>
      </c>
      <c r="E20" s="4">
        <v>2023</v>
      </c>
      <c r="F20" s="4">
        <v>1</v>
      </c>
      <c r="G20" t="s">
        <v>179</v>
      </c>
      <c r="H20" s="4">
        <v>0</v>
      </c>
      <c r="I20" s="4">
        <v>5</v>
      </c>
      <c r="J20" s="11">
        <v>19.9</v>
      </c>
      <c r="K20" t="s">
        <v>145</v>
      </c>
      <c r="L20" s="11">
        <v>8.5</v>
      </c>
      <c r="M20" s="9">
        <v>619453</v>
      </c>
      <c r="N20" s="11">
        <v>512.6</v>
      </c>
      <c r="O20" s="11">
        <v>54.6853681165748</v>
      </c>
    </row>
    <row r="21" spans="2:15">
      <c r="B21" t="s">
        <v>13</v>
      </c>
      <c r="C21" t="s">
        <v>180</v>
      </c>
      <c r="D21" t="s">
        <v>156</v>
      </c>
      <c r="E21" s="4">
        <v>2022</v>
      </c>
      <c r="F21" s="4">
        <v>2</v>
      </c>
      <c r="G21" t="s">
        <v>181</v>
      </c>
      <c r="H21" s="4">
        <v>0</v>
      </c>
      <c r="I21" s="4">
        <v>6</v>
      </c>
      <c r="J21" s="11">
        <v>15.4</v>
      </c>
      <c r="K21" t="s">
        <v>145</v>
      </c>
      <c r="L21" s="11">
        <v>8</v>
      </c>
      <c r="M21" s="9">
        <v>574314</v>
      </c>
      <c r="N21" s="11">
        <v>512.6</v>
      </c>
      <c r="O21" s="11">
        <v>54.6853681165748</v>
      </c>
    </row>
    <row r="22" spans="2:15">
      <c r="B22" t="s">
        <v>10</v>
      </c>
      <c r="C22" t="s">
        <v>182</v>
      </c>
      <c r="D22" t="s">
        <v>170</v>
      </c>
      <c r="E22" s="4">
        <v>2022</v>
      </c>
      <c r="F22" s="4">
        <v>2</v>
      </c>
      <c r="G22" t="s">
        <v>66</v>
      </c>
      <c r="H22" s="4">
        <v>-1</v>
      </c>
      <c r="I22" s="4">
        <v>7</v>
      </c>
      <c r="J22" s="11">
        <v>5.1</v>
      </c>
      <c r="K22" t="s">
        <v>145</v>
      </c>
      <c r="L22" s="11">
        <v>6.5</v>
      </c>
      <c r="M22" s="9">
        <v>672972</v>
      </c>
      <c r="N22" s="11">
        <v>314.8</v>
      </c>
      <c r="O22" s="11">
        <v>18.75240924242081</v>
      </c>
    </row>
    <row r="23" spans="2:15">
      <c r="B23" t="s">
        <v>10</v>
      </c>
      <c r="C23" t="s">
        <v>183</v>
      </c>
      <c r="D23" t="s">
        <v>150</v>
      </c>
      <c r="E23" s="4">
        <v>2023</v>
      </c>
      <c r="F23" s="4">
        <v>1</v>
      </c>
      <c r="G23" t="s">
        <v>70</v>
      </c>
      <c r="H23" s="4">
        <v>-1</v>
      </c>
      <c r="I23" s="4">
        <v>8</v>
      </c>
      <c r="J23" s="11">
        <v>2.4</v>
      </c>
      <c r="K23" t="s">
        <v>145</v>
      </c>
      <c r="L23" s="11">
        <v>4</v>
      </c>
      <c r="M23" s="9">
        <v>752536</v>
      </c>
      <c r="N23" s="11">
        <v>314.8</v>
      </c>
      <c r="O23" s="11">
        <v>18.75240924242081</v>
      </c>
    </row>
    <row r="24" spans="2:15">
      <c r="B24" t="s">
        <v>10</v>
      </c>
      <c r="C24" t="s">
        <v>184</v>
      </c>
      <c r="D24" t="s">
        <v>178</v>
      </c>
      <c r="E24" s="4">
        <v>2023</v>
      </c>
      <c r="F24" s="4">
        <v>1</v>
      </c>
      <c r="G24" t="s">
        <v>185</v>
      </c>
      <c r="H24" s="4">
        <v>1</v>
      </c>
      <c r="I24" s="4">
        <v>9</v>
      </c>
      <c r="J24" s="11">
        <v>2.5</v>
      </c>
      <c r="K24" t="s">
        <v>145</v>
      </c>
      <c r="L24" s="11">
        <v>2.5</v>
      </c>
      <c r="M24" s="9">
        <v>731613</v>
      </c>
      <c r="N24" s="11">
        <v>314.8</v>
      </c>
      <c r="O24" s="11">
        <v>18.75240924242081</v>
      </c>
    </row>
    <row r="25" spans="2:15">
      <c r="B25" t="s">
        <v>10</v>
      </c>
      <c r="C25" t="s">
        <v>186</v>
      </c>
      <c r="D25" t="s">
        <v>158</v>
      </c>
      <c r="E25" s="4">
        <v>2023</v>
      </c>
      <c r="F25" s="4">
        <v>1</v>
      </c>
      <c r="G25" t="s">
        <v>70</v>
      </c>
      <c r="H25" s="4">
        <v>-1</v>
      </c>
      <c r="I25" s="4">
        <v>9</v>
      </c>
      <c r="J25" s="11">
        <v>4</v>
      </c>
      <c r="K25" t="s">
        <v>145</v>
      </c>
      <c r="L25" s="11">
        <v>2.5</v>
      </c>
      <c r="M25" s="9">
        <v>197031</v>
      </c>
      <c r="N25" s="11">
        <v>314.8</v>
      </c>
      <c r="O25" s="11">
        <v>18.75240924242081</v>
      </c>
    </row>
    <row r="26" spans="2:15">
      <c r="B26" t="s">
        <v>13</v>
      </c>
      <c r="C26" t="s">
        <v>187</v>
      </c>
      <c r="D26" t="s">
        <v>153</v>
      </c>
      <c r="E26" s="4">
        <v>2023</v>
      </c>
      <c r="F26" s="4">
        <v>1</v>
      </c>
      <c r="G26" t="s">
        <v>188</v>
      </c>
      <c r="H26" s="4">
        <v>0</v>
      </c>
      <c r="I26" s="4">
        <v>9</v>
      </c>
      <c r="J26" s="11">
        <v>6.8</v>
      </c>
      <c r="K26" t="s">
        <v>145</v>
      </c>
      <c r="L26" s="11">
        <v>2.5</v>
      </c>
      <c r="M26" s="9">
        <v>651524</v>
      </c>
      <c r="N26" s="11">
        <v>512.6</v>
      </c>
      <c r="O26" s="11">
        <v>54.6853681165748</v>
      </c>
    </row>
    <row r="27" spans="2:15">
      <c r="B27" t="s">
        <v>10</v>
      </c>
      <c r="C27" t="s">
        <v>189</v>
      </c>
      <c r="D27" t="s">
        <v>190</v>
      </c>
      <c r="E27" s="4">
        <v>2023</v>
      </c>
      <c r="F27" s="4">
        <v>1</v>
      </c>
      <c r="G27" t="s">
        <v>176</v>
      </c>
      <c r="H27" s="4">
        <v>1</v>
      </c>
      <c r="I27" s="4">
        <v>10</v>
      </c>
      <c r="J27" s="11">
        <v>9.800000000000001</v>
      </c>
      <c r="K27" t="s">
        <v>145</v>
      </c>
      <c r="L27" s="11">
        <v>1</v>
      </c>
      <c r="M27" s="9">
        <v>681776</v>
      </c>
      <c r="N27" s="11">
        <v>314.8</v>
      </c>
      <c r="O27" s="11">
        <v>18.75240924242081</v>
      </c>
    </row>
    <row r="28" spans="2:15" s="14" customFormat="1">
      <c r="B28" s="14" t="s">
        <v>11</v>
      </c>
      <c r="C28" s="14" t="s">
        <v>191</v>
      </c>
      <c r="D28" s="14" t="s">
        <v>156</v>
      </c>
      <c r="E28" s="4">
        <v>2010</v>
      </c>
      <c r="F28" s="4">
        <v>14</v>
      </c>
      <c r="G28" s="14" t="s">
        <v>192</v>
      </c>
      <c r="H28" s="4">
        <v>9</v>
      </c>
      <c r="I28" s="4">
        <v>6</v>
      </c>
      <c r="J28" s="11">
        <v>20.3</v>
      </c>
      <c r="K28" s="14" t="s">
        <v>193</v>
      </c>
      <c r="L28" s="11">
        <v>23</v>
      </c>
      <c r="M28" s="9">
        <v>203074</v>
      </c>
      <c r="N28" s="11">
        <v>757</v>
      </c>
      <c r="O28" s="11">
        <v>40.45949214026602</v>
      </c>
    </row>
    <row r="29" spans="2:15" s="14" customFormat="1">
      <c r="B29" s="14" t="s">
        <v>12</v>
      </c>
      <c r="C29" s="14" t="s">
        <v>194</v>
      </c>
      <c r="D29" s="14" t="s">
        <v>178</v>
      </c>
      <c r="E29" s="4">
        <v>2015</v>
      </c>
      <c r="F29" s="4">
        <v>9</v>
      </c>
      <c r="G29" s="14" t="s">
        <v>151</v>
      </c>
      <c r="H29" s="4">
        <v>5</v>
      </c>
      <c r="I29" s="4">
        <v>6</v>
      </c>
      <c r="J29" s="11">
        <v>11.9</v>
      </c>
      <c r="K29" s="14" t="s">
        <v>193</v>
      </c>
      <c r="L29" s="11">
        <v>18</v>
      </c>
      <c r="M29" s="9">
        <v>567368</v>
      </c>
      <c r="N29" s="11">
        <v>580.1999999999999</v>
      </c>
      <c r="O29" s="11">
        <v>42.148129294986</v>
      </c>
    </row>
    <row r="30" spans="2:15" s="15" customFormat="1">
      <c r="B30" s="15" t="s">
        <v>11</v>
      </c>
      <c r="C30" s="15" t="s">
        <v>195</v>
      </c>
      <c r="D30" s="15" t="s">
        <v>161</v>
      </c>
      <c r="E30" s="4">
        <v>2008</v>
      </c>
      <c r="F30" s="4">
        <v>16</v>
      </c>
      <c r="G30" s="15" t="s">
        <v>196</v>
      </c>
      <c r="H30" s="4">
        <v>12</v>
      </c>
      <c r="I30" s="4">
        <v>3</v>
      </c>
      <c r="J30" s="11">
        <v>24.8</v>
      </c>
      <c r="K30" s="15" t="s">
        <v>197</v>
      </c>
      <c r="L30" s="11">
        <v>29.5</v>
      </c>
      <c r="M30" s="9">
        <v>471577</v>
      </c>
      <c r="N30" s="11">
        <v>757</v>
      </c>
      <c r="O30" s="11">
        <v>40.45949214026602</v>
      </c>
    </row>
    <row r="31" spans="2:15" s="15" customFormat="1">
      <c r="B31" s="15" t="s">
        <v>11</v>
      </c>
      <c r="C31" s="15" t="s">
        <v>198</v>
      </c>
      <c r="D31" s="15" t="s">
        <v>158</v>
      </c>
      <c r="E31" s="4">
        <v>2010</v>
      </c>
      <c r="F31" s="4">
        <v>14</v>
      </c>
      <c r="G31" s="15" t="s">
        <v>199</v>
      </c>
      <c r="H31" s="4">
        <v>13</v>
      </c>
      <c r="I31" s="4">
        <v>5</v>
      </c>
      <c r="J31" s="11">
        <v>26.3</v>
      </c>
      <c r="K31" s="15" t="s">
        <v>197</v>
      </c>
      <c r="L31" s="11">
        <v>24.5</v>
      </c>
      <c r="M31" s="9">
        <v>615404</v>
      </c>
      <c r="N31" s="11">
        <v>757</v>
      </c>
      <c r="O31" s="11">
        <v>40.45949214026602</v>
      </c>
    </row>
    <row r="32" spans="2:15" s="15" customFormat="1">
      <c r="B32" s="15" t="s">
        <v>11</v>
      </c>
      <c r="C32" s="15" t="s">
        <v>200</v>
      </c>
      <c r="D32" s="15" t="s">
        <v>150</v>
      </c>
      <c r="E32" s="4">
        <v>2012</v>
      </c>
      <c r="F32" s="4">
        <v>12</v>
      </c>
      <c r="G32" s="15" t="s">
        <v>192</v>
      </c>
      <c r="H32" s="4">
        <v>9</v>
      </c>
      <c r="I32" s="4">
        <v>4</v>
      </c>
      <c r="J32" s="11">
        <v>19</v>
      </c>
      <c r="K32" s="15" t="s">
        <v>197</v>
      </c>
      <c r="L32" s="11">
        <v>24</v>
      </c>
      <c r="M32" s="9">
        <v>563814</v>
      </c>
      <c r="N32" s="11">
        <v>757</v>
      </c>
      <c r="O32" s="11">
        <v>40.45949214026602</v>
      </c>
    </row>
    <row r="33" spans="2:15" s="15" customFormat="1">
      <c r="B33" s="15" t="s">
        <v>11</v>
      </c>
      <c r="C33" s="15" t="s">
        <v>201</v>
      </c>
      <c r="D33" s="15" t="s">
        <v>190</v>
      </c>
      <c r="E33" s="4">
        <v>2012</v>
      </c>
      <c r="F33" s="4">
        <v>12</v>
      </c>
      <c r="G33" s="15" t="s">
        <v>202</v>
      </c>
      <c r="H33" s="4">
        <v>10</v>
      </c>
      <c r="I33" s="4">
        <v>5</v>
      </c>
      <c r="J33" s="11">
        <v>10.4</v>
      </c>
      <c r="K33" s="15" t="s">
        <v>197</v>
      </c>
      <c r="L33" s="11">
        <v>22.5</v>
      </c>
      <c r="M33" s="9">
        <v>370021</v>
      </c>
      <c r="N33" s="11">
        <v>757</v>
      </c>
      <c r="O33" s="11">
        <v>40.45949214026602</v>
      </c>
    </row>
    <row r="34" spans="2:15" s="15" customFormat="1">
      <c r="B34" s="15" t="s">
        <v>11</v>
      </c>
      <c r="C34" s="15" t="s">
        <v>203</v>
      </c>
      <c r="D34" s="15" t="s">
        <v>147</v>
      </c>
      <c r="E34" s="4">
        <v>2015</v>
      </c>
      <c r="F34" s="4">
        <v>9</v>
      </c>
      <c r="G34" s="15" t="s">
        <v>204</v>
      </c>
      <c r="H34" s="4">
        <v>8</v>
      </c>
      <c r="I34" s="4">
        <v>3</v>
      </c>
      <c r="J34" s="11">
        <v>24.7</v>
      </c>
      <c r="K34" s="15" t="s">
        <v>197</v>
      </c>
      <c r="L34" s="11">
        <v>22.5</v>
      </c>
      <c r="M34" s="9">
        <v>644108</v>
      </c>
      <c r="N34" s="11">
        <v>757</v>
      </c>
      <c r="O34" s="11">
        <v>40.45949214026602</v>
      </c>
    </row>
    <row r="36" spans="2:15">
      <c r="B36" s="13" t="s">
        <v>205</v>
      </c>
    </row>
    <row r="38" spans="2:15">
      <c r="B38" s="3" t="s">
        <v>14</v>
      </c>
      <c r="C38" s="3" t="s">
        <v>206</v>
      </c>
      <c r="D38" s="3" t="s">
        <v>207</v>
      </c>
      <c r="E38" s="3" t="s">
        <v>208</v>
      </c>
      <c r="F38" s="3" t="s">
        <v>209</v>
      </c>
      <c r="G38" s="3" t="s">
        <v>210</v>
      </c>
      <c r="H38" s="3" t="s">
        <v>211</v>
      </c>
    </row>
    <row r="39" spans="2:15">
      <c r="B39" t="s">
        <v>11</v>
      </c>
      <c r="C39">
        <v>7</v>
      </c>
      <c r="D39" s="11">
        <v>12.14285714285714</v>
      </c>
      <c r="E39" s="11">
        <v>4.714285714285714</v>
      </c>
      <c r="F39">
        <v>5</v>
      </c>
      <c r="G39" s="9">
        <v>2664924</v>
      </c>
      <c r="H39" s="11">
        <v>757</v>
      </c>
    </row>
    <row r="40" spans="2:15">
      <c r="B40" t="s">
        <v>10</v>
      </c>
      <c r="C40">
        <v>7</v>
      </c>
      <c r="D40" s="11">
        <v>2.428571428571428</v>
      </c>
      <c r="E40" s="11">
        <v>8.285714285714286</v>
      </c>
      <c r="F40">
        <v>0</v>
      </c>
      <c r="G40" s="9">
        <v>0</v>
      </c>
      <c r="H40" s="11">
        <v>314.8</v>
      </c>
    </row>
    <row r="41" spans="2:15">
      <c r="B41" t="s">
        <v>13</v>
      </c>
      <c r="C41">
        <v>7</v>
      </c>
      <c r="D41" s="11">
        <v>1.857142857142857</v>
      </c>
      <c r="E41" s="11">
        <v>5.285714285714286</v>
      </c>
      <c r="F41">
        <v>0</v>
      </c>
      <c r="G41" s="9">
        <v>0</v>
      </c>
      <c r="H41" s="11">
        <v>512.6</v>
      </c>
    </row>
    <row r="42" spans="2:15">
      <c r="B42" t="s">
        <v>12</v>
      </c>
      <c r="C42">
        <v>7</v>
      </c>
      <c r="D42" s="11">
        <v>6.714285714285714</v>
      </c>
      <c r="E42" s="11">
        <v>7</v>
      </c>
      <c r="F42">
        <v>0</v>
      </c>
      <c r="G42" s="9">
        <v>0</v>
      </c>
      <c r="H42" s="11">
        <v>580.1999999999999</v>
      </c>
    </row>
    <row r="43" spans="2:15">
      <c r="B43" t="s">
        <v>212</v>
      </c>
      <c r="C43">
        <v>28</v>
      </c>
      <c r="F43">
        <v>5</v>
      </c>
      <c r="G43" s="9">
        <v>2664924</v>
      </c>
    </row>
    <row r="63" spans="2:2">
      <c r="B63" s="10" t="s">
        <v>213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Plant Scorecard</vt:lpstr>
      <vt:lpstr>Trend Diagnostics</vt:lpstr>
      <vt:lpstr>Industry Benchmark</vt:lpstr>
      <vt:lpstr>Complaint-Production Crossref</vt:lpstr>
      <vt:lpstr>Equipment Risk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2026-10-19T14:32:41Z</dcterms:created>
  <dcterms:modified xsi:type="dcterms:W3CDTF">2026-10-19T14:32:41Z</dcterms:modified>
</cp:coreProperties>
</file>