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Metrics" sheetId="1" state="visible" r:id="rId1"/>
    <sheet xmlns:r="http://schemas.openxmlformats.org/officeDocument/2006/relationships" name="Proposal A Model" sheetId="2" state="visible" r:id="rId2"/>
    <sheet xmlns:r="http://schemas.openxmlformats.org/officeDocument/2006/relationships" name="Proposal B Model" sheetId="3" state="visible" r:id="rId3"/>
    <sheet xmlns:r="http://schemas.openxmlformats.org/officeDocument/2006/relationships" name="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$#,##0"/>
    <numFmt numFmtId="166" formatCode="0.000"/>
    <numFmt numFmtId="167" formatCode="0.0"/>
  </numFmts>
  <fonts count="1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595959"/>
      <sz val="8"/>
    </font>
    <font>
      <b val="1"/>
      <color rgb="00FFFFFF"/>
      <sz val="9"/>
    </font>
    <font>
      <sz val="10"/>
    </font>
    <font>
      <b val="1"/>
      <sz val="10"/>
    </font>
    <font>
      <b val="1"/>
      <color rgb="00FFFFFF"/>
      <sz val="12"/>
    </font>
    <font>
      <i val="1"/>
      <color rgb="00404040"/>
      <sz val="9"/>
    </font>
    <font>
      <b val="1"/>
      <color rgb="00595959"/>
      <sz val="9"/>
    </font>
    <font>
      <b val="1"/>
      <sz val="9"/>
    </font>
    <font>
      <sz val="9"/>
    </font>
    <font>
      <b val="1"/>
      <color rgb="009C0006"/>
      <sz val="10"/>
    </font>
    <font>
      <b val="1"/>
      <color rgb="00FFFFFF"/>
      <sz val="10"/>
    </font>
    <font>
      <b val="1"/>
      <color rgb="001F6B1F"/>
      <sz val="10"/>
    </font>
    <font>
      <b val="1"/>
      <sz val="11"/>
    </font>
    <font>
      <b val="1"/>
      <sz val="12"/>
    </font>
    <font>
      <b val="1"/>
      <color rgb="001F6B1F"/>
      <sz val="12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pivotButton="0" quotePrefix="0" xfId="0"/>
    <xf numFmtId="166" fontId="4" fillId="0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164" fontId="4" fillId="0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4" borderId="1" pivotButton="0" quotePrefix="0" xfId="0"/>
    <xf numFmtId="165" fontId="5" fillId="4" borderId="1" pivotButton="0" quotePrefix="0" xfId="0"/>
    <xf numFmtId="0" fontId="5" fillId="5" borderId="1" pivotButton="0" quotePrefix="0" xfId="0"/>
    <xf numFmtId="165" fontId="5" fillId="5" borderId="1" pivotButton="0" quotePrefix="0" xfId="0"/>
    <xf numFmtId="167" fontId="4" fillId="0" borderId="1" applyAlignment="1" pivotButton="0" quotePrefix="0" xfId="0">
      <alignment horizontal="center"/>
    </xf>
    <xf numFmtId="0" fontId="11" fillId="6" borderId="1" pivotButton="0" quotePrefix="0" xfId="0"/>
    <xf numFmtId="0" fontId="5" fillId="0" borderId="1" pivotButton="0" quotePrefix="0" xfId="0"/>
    <xf numFmtId="167" fontId="5" fillId="0" borderId="1" pivotButton="0" quotePrefix="0" xfId="0"/>
    <xf numFmtId="1" fontId="5" fillId="0" borderId="1" pivotButton="0" quotePrefix="0" xfId="0"/>
    <xf numFmtId="164" fontId="11" fillId="6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5" fontId="4" fillId="5" borderId="1" pivotButton="0" quotePrefix="0" xfId="0"/>
    <xf numFmtId="165" fontId="5" fillId="0" borderId="1" pivotButton="0" quotePrefix="0" xfId="0"/>
    <xf numFmtId="0" fontId="12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3" borderId="1" pivotButton="0" quotePrefix="0" xfId="0"/>
    <xf numFmtId="0" fontId="0" fillId="3" borderId="1" pivotButton="0" quotePrefix="0" xfId="0"/>
    <xf numFmtId="0" fontId="15" fillId="3" borderId="1" pivotButton="0" quotePrefix="0" xfId="0"/>
    <xf numFmtId="0" fontId="0" fillId="4" borderId="1" pivotButton="0" quotePrefix="0" xfId="0"/>
    <xf numFmtId="0" fontId="16" fillId="4" borderId="1" pivotButton="0" quotePrefix="0" xfId="0"/>
    <xf numFmtId="0" fontId="1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Vacancy Rate vs OT Rate vs 311 Resolution Days (FY2024)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'Baseline Metrics'!B29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Metrics'!$A$30:$A$34</f>
            </numRef>
          </cat>
          <val>
            <numRef>
              <f>'Baseline Metrics'!$B$30:$B$34</f>
            </numRef>
          </val>
        </ser>
        <ser>
          <idx val="1"/>
          <order val="1"/>
          <tx>
            <strRef>
              <f>'Baseline Metrics'!C29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Metrics'!$A$30:$A$34</f>
            </numRef>
          </cat>
          <val>
            <numRef>
              <f>'Baseline Metrics'!$C$30:$C$34</f>
            </numRef>
          </val>
        </ser>
        <ser>
          <idx val="2"/>
          <order val="2"/>
          <tx>
            <strRef>
              <f>'Baseline Metrics'!D29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Metrics'!$A$30:$A$34</f>
            </numRef>
          </cat>
          <val>
            <numRef>
              <f>'Baseline Metrics'!$D$30:$D$34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 / 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28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9" customWidth="1" min="4" max="4"/>
    <col width="12" customWidth="1" min="5" max="5"/>
    <col width="10" customWidth="1" min="6" max="6"/>
    <col width="13" customWidth="1" min="7" max="7"/>
    <col width="12" customWidth="1" min="8" max="8"/>
    <col width="13" customWidth="1" min="9" max="9"/>
    <col width="11" customWidth="1" min="10" max="10"/>
    <col width="30" customWidth="1" min="11" max="11"/>
    <col width="12" customWidth="1" min="12" max="12"/>
    <col width="12" customWidth="1" min="13" max="13"/>
    <col width="13" customWidth="1" min="14" max="14"/>
    <col width="14" customWidth="1" min="15" max="15"/>
    <col width="10" customWidth="1" min="16" max="16"/>
  </cols>
  <sheetData>
    <row r="1">
      <c r="A1" s="1" t="inlineStr">
        <is>
          <t>CITY OF GREENFIELD — FY2024 DEPARTMENT BASELINE SCORECARD</t>
        </is>
      </c>
    </row>
    <row r="2">
      <c r="A2" s="2" t="inlineStr">
        <is>
          <t>Sources: Greenfield_Dept_Staffing_Overtime_FY2024.xlsx; Greenfield_311_Service_Requests_FY2024.csv; NYC_Expense_Budget_Selected.csv (FY2024); NYS Comptroller Report 2-2025 (App. A headcounts)</t>
        </is>
      </c>
    </row>
    <row r="4" ht="30" customHeight="1">
      <c r="A4" s="3" t="inlineStr">
        <is>
          <t>Department</t>
        </is>
      </c>
      <c r="B4" s="3" t="inlineStr">
        <is>
          <t>Authorized</t>
        </is>
      </c>
      <c r="C4" s="3" t="inlineStr">
        <is>
          <t>Filled</t>
        </is>
      </c>
      <c r="D4" s="3" t="inlineStr">
        <is>
          <t>Vacant</t>
        </is>
      </c>
      <c r="E4" s="3" t="inlineStr">
        <is>
          <t>Vacancy Rate %</t>
        </is>
      </c>
      <c r="F4" s="3" t="inlineStr">
        <is>
          <t>OT % of Reg Hrs</t>
        </is>
      </c>
      <c r="G4" s="3" t="inlineStr">
        <is>
          <t>OT Cost $</t>
        </is>
      </c>
      <c r="H4" s="3" t="inlineStr">
        <is>
          <t>OT Months &gt;10%</t>
        </is>
      </c>
      <c r="I4" s="3" t="inlineStr">
        <is>
          <t>Avg 311 Resolution Days</t>
        </is>
      </c>
      <c r="J4" s="3" t="inlineStr">
        <is>
          <t>311 Satisfaction (1-5)</t>
        </is>
      </c>
      <c r="K4" s="3" t="inlineStr">
        <is>
          <t>Worst On-Time Process</t>
        </is>
      </c>
      <c r="L4" s="3" t="inlineStr">
        <is>
          <t>Worst On-Time %</t>
        </is>
      </c>
      <c r="M4" s="3" t="inlineStr">
        <is>
          <t>Processes &lt;65% On-Time</t>
        </is>
      </c>
      <c r="N4" s="3" t="inlineStr">
        <is>
          <t>GF Cost per Filled Emp $</t>
        </is>
      </c>
      <c r="O4" s="3" t="inlineStr">
        <is>
          <t>NYC Budget per Emp $</t>
        </is>
      </c>
      <c r="P4" s="3" t="inlineStr">
        <is>
          <t>GF / NYC Ratio</t>
        </is>
      </c>
    </row>
    <row r="5">
      <c r="A5" s="4" t="inlineStr">
        <is>
          <t>Parks &amp; Recreation</t>
        </is>
      </c>
      <c r="B5" s="5" t="n">
        <v>116</v>
      </c>
      <c r="C5" s="5" t="n">
        <v>110</v>
      </c>
      <c r="D5" s="5" t="n">
        <v>6</v>
      </c>
      <c r="E5" s="6" t="n">
        <v>5.2</v>
      </c>
      <c r="F5" s="6" t="n">
        <v>6.1</v>
      </c>
      <c r="G5" s="7" t="n">
        <v>453960</v>
      </c>
      <c r="H5" s="5" t="n">
        <v>0</v>
      </c>
      <c r="I5" s="5" t="n">
        <v>12.5</v>
      </c>
      <c r="J5" s="4" t="n">
        <v>3.55</v>
      </c>
      <c r="K5" s="4" t="inlineStr">
        <is>
          <t>Tree Removal Request</t>
        </is>
      </c>
      <c r="L5" s="6" t="n">
        <v>62.4</v>
      </c>
      <c r="M5" s="6" t="n">
        <v>1</v>
      </c>
      <c r="N5" s="7" t="n">
        <v>46977</v>
      </c>
      <c r="O5" s="7" t="n">
        <v>435701</v>
      </c>
      <c r="P5" s="8" t="n">
        <v>0.108</v>
      </c>
    </row>
    <row r="6">
      <c r="A6" s="4" t="inlineStr">
        <is>
          <t>Sanitation</t>
        </is>
      </c>
      <c r="B6" s="5" t="n">
        <v>108</v>
      </c>
      <c r="C6" s="5" t="n">
        <v>101</v>
      </c>
      <c r="D6" s="5" t="n">
        <v>7</v>
      </c>
      <c r="E6" s="6" t="n">
        <v>6.5</v>
      </c>
      <c r="F6" s="6" t="n">
        <v>9.800000000000001</v>
      </c>
      <c r="G6" s="7" t="n">
        <v>646877</v>
      </c>
      <c r="H6" s="5" t="n">
        <v>4</v>
      </c>
      <c r="I6" s="5" t="n">
        <v>9</v>
      </c>
      <c r="J6" s="4" t="n">
        <v>3.64</v>
      </c>
      <c r="K6" s="4" t="inlineStr">
        <is>
          <t>Illegal Dumping Investigation</t>
        </is>
      </c>
      <c r="L6" s="6" t="n">
        <v>54.2</v>
      </c>
      <c r="M6" s="6" t="n">
        <v>2</v>
      </c>
      <c r="N6" s="7" t="n">
        <v>48881</v>
      </c>
      <c r="O6" s="7" t="n">
        <v>565576</v>
      </c>
      <c r="P6" s="8" t="n">
        <v>0.08599999999999999</v>
      </c>
    </row>
    <row r="7">
      <c r="A7" s="4" t="inlineStr">
        <is>
          <t>Transportation</t>
        </is>
      </c>
      <c r="B7" s="5" t="n">
        <v>134</v>
      </c>
      <c r="C7" s="5" t="n">
        <v>114</v>
      </c>
      <c r="D7" s="5" t="n">
        <v>20</v>
      </c>
      <c r="E7" s="6" t="n">
        <v>14.9</v>
      </c>
      <c r="F7" s="6" t="n">
        <v>8.4</v>
      </c>
      <c r="G7" s="7" t="n">
        <v>642979</v>
      </c>
      <c r="H7" s="5" t="n">
        <v>2</v>
      </c>
      <c r="I7" s="5" t="n">
        <v>13.6</v>
      </c>
      <c r="J7" s="4" t="n">
        <v>3.36</v>
      </c>
      <c r="K7" s="4" t="inlineStr">
        <is>
          <t>Street Resurfacing Project</t>
        </is>
      </c>
      <c r="L7" s="6" t="n">
        <v>48.3</v>
      </c>
      <c r="M7" s="6" t="n">
        <v>3</v>
      </c>
      <c r="N7" s="7" t="n">
        <v>54288</v>
      </c>
      <c r="O7" s="7" t="n">
        <v>854032</v>
      </c>
      <c r="P7" s="8" t="n">
        <v>0.064</v>
      </c>
    </row>
    <row r="8">
      <c r="A8" s="4" t="inlineStr">
        <is>
          <t>Health Services</t>
        </is>
      </c>
      <c r="B8" s="5" t="n">
        <v>96</v>
      </c>
      <c r="C8" s="5" t="n">
        <v>80</v>
      </c>
      <c r="D8" s="5" t="n">
        <v>16</v>
      </c>
      <c r="E8" s="6" t="n">
        <v>16.7</v>
      </c>
      <c r="F8" s="6" t="n">
        <v>7.1</v>
      </c>
      <c r="G8" s="7" t="n">
        <v>525390</v>
      </c>
      <c r="H8" s="5" t="n">
        <v>0</v>
      </c>
      <c r="I8" s="5" t="n">
        <v>12</v>
      </c>
      <c r="J8" s="4" t="n">
        <v>3.72</v>
      </c>
      <c r="K8" s="4" t="inlineStr">
        <is>
          <t>Environmental Complaint Investigation</t>
        </is>
      </c>
      <c r="L8" s="6" t="n">
        <v>64.09999999999999</v>
      </c>
      <c r="M8" s="6" t="n">
        <v>1</v>
      </c>
      <c r="N8" s="7" t="n">
        <v>67006</v>
      </c>
      <c r="O8" s="7" t="n">
        <v>1650580</v>
      </c>
      <c r="P8" s="8" t="n">
        <v>0.041</v>
      </c>
    </row>
    <row r="9">
      <c r="A9" s="4" t="inlineStr">
        <is>
          <t>Fire Department</t>
        </is>
      </c>
      <c r="B9" s="5" t="n">
        <v>142</v>
      </c>
      <c r="C9" s="5" t="n">
        <v>137</v>
      </c>
      <c r="D9" s="5" t="n">
        <v>5</v>
      </c>
      <c r="E9" s="6" t="n">
        <v>3.5</v>
      </c>
      <c r="F9" s="6" t="n">
        <v>14.6</v>
      </c>
      <c r="G9" s="7" t="n">
        <v>2085312</v>
      </c>
      <c r="H9" s="5" t="n">
        <v>12</v>
      </c>
      <c r="I9" s="5" t="n">
        <v>3.8</v>
      </c>
      <c r="J9" s="4" t="n">
        <v>4.23</v>
      </c>
      <c r="K9" s="4" t="inlineStr">
        <is>
          <t>Plan Review (New Construction)</t>
        </is>
      </c>
      <c r="L9" s="6" t="n">
        <v>59.6</v>
      </c>
      <c r="M9" s="6" t="n">
        <v>1</v>
      </c>
      <c r="N9" s="7" t="n">
        <v>80954</v>
      </c>
      <c r="O9" s="7" t="n">
        <v>439665</v>
      </c>
      <c r="P9" s="8" t="n">
        <v>0.184</v>
      </c>
    </row>
    <row r="10">
      <c r="A10" s="9" t="inlineStr">
        <is>
          <t>CITYWIDE</t>
        </is>
      </c>
      <c r="B10" s="9" t="n">
        <v>596</v>
      </c>
      <c r="C10" s="9" t="n">
        <v>542</v>
      </c>
      <c r="D10" s="9" t="n">
        <v>54</v>
      </c>
      <c r="E10" s="10" t="n">
        <v>9.1</v>
      </c>
      <c r="F10" s="10" t="n">
        <v>9.6</v>
      </c>
      <c r="G10" s="11" t="n">
        <v>4354518</v>
      </c>
      <c r="H10" s="9" t="inlineStr">
        <is>
          <t>—</t>
        </is>
      </c>
      <c r="I10" s="9" t="n">
        <v>10.8</v>
      </c>
      <c r="J10" s="9" t="n">
        <v>3.63</v>
      </c>
      <c r="K10" s="9" t="inlineStr">
        <is>
          <t>All processes &lt;65%: see below</t>
        </is>
      </c>
      <c r="L10" s="9" t="inlineStr">
        <is>
          <t>—</t>
        </is>
      </c>
      <c r="M10" s="9" t="n">
        <v>8</v>
      </c>
      <c r="N10" s="11" t="n">
        <v>60414</v>
      </c>
      <c r="O10" s="9" t="inlineStr">
        <is>
          <t>—</t>
        </is>
      </c>
      <c r="P10" s="9" t="inlineStr">
        <is>
          <t>—</t>
        </is>
      </c>
    </row>
    <row r="12">
      <c r="A12" s="12" t="inlineStr">
        <is>
          <t>RED-FLAG TRIGGER SUMMARY (Proposal B intervention thresholds)</t>
        </is>
      </c>
    </row>
    <row r="13">
      <c r="A13" s="13" t="inlineStr">
        <is>
          <t>Vacancy &gt; 12%: 8 divisions trigger centralized hiring (all 4 Transportation divisions; all 4 Health Services divisions; 230 authorized posts, 36 vacant = 15.7% combined).</t>
        </is>
      </c>
    </row>
    <row r="14">
      <c r="A14" s="13" t="inlineStr">
        <is>
          <t>OT &gt; 10% of regular hours (FY2024 annual): Fire Department 14.6% — exceeded the threshold in all 12 months. Sanitation is a seasonal watchlist case: 9.8% annual but &gt;10% in 4 winter months (Dec 13.5%, Jan 14.4%, Feb 12.7%, Mar 11.5%) with 52.9% of its annual OT spend in Nov–Mar.</t>
        </is>
      </c>
    </row>
    <row r="15">
      <c r="A15" s="13" t="inlineStr">
        <is>
          <t>On-time &lt; 65%: 8 of 25 citywide processes — every one of them is Manual (non-automated). Automated processes average 94.8% on-time; Semi-Automated 80.8%; Manual 63.6%.</t>
        </is>
      </c>
    </row>
    <row r="17">
      <c r="A17" s="12" t="inlineStr">
        <is>
          <t>NYC BENCHMARK REFERENCE — VACANCY RATES (NYS Comptroller, Report 2-2025, Jan 2024)</t>
        </is>
      </c>
    </row>
    <row r="18">
      <c r="A18" s="3" t="inlineStr">
        <is>
          <t>Program Area / Agency (NYC)</t>
        </is>
      </c>
      <c r="B18" s="3" t="inlineStr">
        <is>
          <t>Pre-Pandemic Avg (FY12–19)</t>
        </is>
      </c>
      <c r="C18" s="3" t="inlineStr">
        <is>
          <t>Jun 2023</t>
        </is>
      </c>
      <c r="D18" s="3" t="inlineStr">
        <is>
          <t>Jan 2024</t>
        </is>
      </c>
      <c r="E18" s="3" t="inlineStr">
        <is>
          <t>Greenfield Equivalent Vacancy</t>
        </is>
      </c>
    </row>
    <row r="19">
      <c r="A19" s="4" t="inlineStr">
        <is>
          <t>NYC citywide (all agencies)</t>
        </is>
      </c>
      <c r="B19" s="5" t="inlineStr">
        <is>
          <t>2.0%</t>
        </is>
      </c>
      <c r="C19" s="5" t="inlineStr">
        <is>
          <t>7.1%</t>
        </is>
      </c>
      <c r="D19" s="5" t="inlineStr">
        <is>
          <t>5.1%</t>
        </is>
      </c>
      <c r="E19" s="5" t="inlineStr">
        <is>
          <t>9.1%</t>
        </is>
      </c>
    </row>
    <row r="20">
      <c r="A20" s="4" t="inlineStr">
        <is>
          <t>Transportation (DOT)</t>
        </is>
      </c>
      <c r="B20" s="5" t="inlineStr">
        <is>
          <t>8.6%</t>
        </is>
      </c>
      <c r="C20" s="5" t="inlineStr">
        <is>
          <t>11.0%</t>
        </is>
      </c>
      <c r="D20" s="5" t="inlineStr">
        <is>
          <t>10.0%</t>
        </is>
      </c>
      <c r="E20" s="5" t="inlineStr">
        <is>
          <t>14.9%</t>
        </is>
      </c>
    </row>
    <row r="21">
      <c r="A21" s="4" t="inlineStr">
        <is>
          <t>Health &amp; Mental Hygiene (DOHMH)</t>
        </is>
      </c>
      <c r="B21" s="5" t="inlineStr">
        <is>
          <t>11.3%</t>
        </is>
      </c>
      <c r="C21" s="5" t="inlineStr">
        <is>
          <t>13.0%</t>
        </is>
      </c>
      <c r="D21" s="5" t="inlineStr">
        <is>
          <t>9.3%</t>
        </is>
      </c>
      <c r="E21" s="5" t="inlineStr">
        <is>
          <t>16.7%</t>
        </is>
      </c>
    </row>
    <row r="22">
      <c r="A22" s="4" t="inlineStr">
        <is>
          <t>Parks &amp; Recreation (DPR)</t>
        </is>
      </c>
      <c r="B22" s="5" t="inlineStr">
        <is>
          <t>4.5%</t>
        </is>
      </c>
      <c r="C22" s="5" t="inlineStr">
        <is>
          <t>5.7%</t>
        </is>
      </c>
      <c r="D22" s="5" t="inlineStr">
        <is>
          <t>1.7%</t>
        </is>
      </c>
      <c r="E22" s="5" t="inlineStr">
        <is>
          <t>5.2%</t>
        </is>
      </c>
    </row>
    <row r="23">
      <c r="A23" s="4" t="inlineStr">
        <is>
          <t>Sanitation (DSNY uniformed)</t>
        </is>
      </c>
      <c r="B23" s="5" t="inlineStr">
        <is>
          <t>0.2%</t>
        </is>
      </c>
      <c r="C23" s="5" t="inlineStr">
        <is>
          <t>0.0%</t>
        </is>
      </c>
      <c r="D23" s="5" t="inlineStr">
        <is>
          <t>0.0%</t>
        </is>
      </c>
      <c r="E23" s="5" t="inlineStr">
        <is>
          <t>6.5%</t>
        </is>
      </c>
    </row>
    <row r="24">
      <c r="A24" s="4" t="inlineStr">
        <is>
          <t>Fire (FDNY uniformed)</t>
        </is>
      </c>
      <c r="B24" s="5" t="inlineStr">
        <is>
          <t>0.2%</t>
        </is>
      </c>
      <c r="C24" s="5" t="inlineStr">
        <is>
          <t>2.6%</t>
        </is>
      </c>
      <c r="D24" s="5" t="inlineStr">
        <is>
          <t>1.4%</t>
        </is>
      </c>
      <c r="E24" s="5" t="inlineStr">
        <is>
          <t>3.5%</t>
        </is>
      </c>
    </row>
    <row r="26">
      <c r="A26" s="13" t="inlineStr">
        <is>
          <t>Per-employee budget basis: NYC = FY2024 Current Modified Expense Budget ÷ Jan-2024 full-time headcount (OSC Appendix A). Greenfield = FY2024 base payroll + OT ÷ filled positions. NYC figures include OTPS (contracts, fleet, utilities) and fringe at city scale; Greenfield figures are salary + OT only — treat ratios as directional context, not like-for-like cost comparison.</t>
        </is>
      </c>
    </row>
    <row r="28">
      <c r="A28" s="12" t="inlineStr">
        <is>
          <t>FY2024 OT AND VACANCY BY DEPARTMENT</t>
        </is>
      </c>
    </row>
    <row r="29">
      <c r="A29" t="inlineStr">
        <is>
          <t>Department</t>
        </is>
      </c>
      <c r="B29" t="inlineStr">
        <is>
          <t>Vacancy Rate %</t>
        </is>
      </c>
      <c r="C29" t="inlineStr">
        <is>
          <t>OT % of Reg Hrs</t>
        </is>
      </c>
      <c r="D29" t="inlineStr">
        <is>
          <t>Avg 311 Days</t>
        </is>
      </c>
    </row>
    <row r="30">
      <c r="A30" t="inlineStr">
        <is>
          <t>Parks &amp; Recreation</t>
        </is>
      </c>
      <c r="B30" t="n">
        <v>5.2</v>
      </c>
      <c r="C30" t="n">
        <v>6.1</v>
      </c>
      <c r="D30" t="n">
        <v>12.5</v>
      </c>
    </row>
    <row r="31">
      <c r="A31" t="inlineStr">
        <is>
          <t>Sanitation</t>
        </is>
      </c>
      <c r="B31" t="n">
        <v>6.5</v>
      </c>
      <c r="C31" t="n">
        <v>9.800000000000001</v>
      </c>
      <c r="D31" t="n">
        <v>9</v>
      </c>
    </row>
    <row r="32">
      <c r="A32" t="inlineStr">
        <is>
          <t>Transportation</t>
        </is>
      </c>
      <c r="B32" t="n">
        <v>14.9</v>
      </c>
      <c r="C32" t="n">
        <v>8.4</v>
      </c>
      <c r="D32" t="n">
        <v>13.6</v>
      </c>
    </row>
    <row r="33">
      <c r="A33" t="inlineStr">
        <is>
          <t>Health Services</t>
        </is>
      </c>
      <c r="B33" t="n">
        <v>16.7</v>
      </c>
      <c r="C33" t="n">
        <v>7.1</v>
      </c>
      <c r="D33" t="n">
        <v>12</v>
      </c>
    </row>
    <row r="34">
      <c r="A34" t="inlineStr">
        <is>
          <t>Fire Department</t>
        </is>
      </c>
      <c r="B34" t="n">
        <v>3.5</v>
      </c>
      <c r="C34" t="n">
        <v>14.6</v>
      </c>
      <c r="D34" t="n">
        <v>3.8</v>
      </c>
    </row>
    <row r="49">
      <c r="A49" s="13" t="inlineStr">
        <is>
          <t>Notes: 311 resolution days computed on the 437 closed requests of 500 filed in FY2024 (63 open at year-end). Department codes in the 311 file map to Greenfield departments as: DPR=Parks &amp; Recreation, DSNY=Sanitation, DOT=Transportation, DHS=Health Services (health &amp; environmental complaint categories), FDNY=Fire Department.</t>
        </is>
      </c>
    </row>
  </sheetData>
  <mergeCells count="10">
    <mergeCell ref="A49:P49"/>
    <mergeCell ref="A28:P28"/>
    <mergeCell ref="A13:P13"/>
    <mergeCell ref="A14:P14"/>
    <mergeCell ref="A1:P1"/>
    <mergeCell ref="A17:P17"/>
    <mergeCell ref="A12:P12"/>
    <mergeCell ref="A26:P26"/>
    <mergeCell ref="A15:P15"/>
    <mergeCell ref="A2:P2"/>
  </mergeCells>
  <conditionalFormatting sqref="E5:E10">
    <cfRule type="cellIs" priority="1" operator="greaterThan" dxfId="0">
      <formula>12</formula>
    </cfRule>
  </conditionalFormatting>
  <conditionalFormatting sqref="F5:F10">
    <cfRule type="cellIs" priority="2" operator="greaterThan" dxfId="0">
      <formula>10</formula>
    </cfRule>
  </conditionalFormatting>
  <conditionalFormatting sqref="L5:L10">
    <cfRule type="cellIs" priority="3" operator="lessThan" dxfId="0">
      <formula>65</formula>
    </cfRule>
  </conditionalFormatting>
  <conditionalFormatting sqref="M5:M10">
    <cfRule type="cellIs" priority="4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PROPOSAL A — "CONSOLIDATE" MODEL</t>
        </is>
      </c>
    </row>
    <row r="2">
      <c r="A2" s="14" t="inlineStr">
        <is>
          <t>Mergers: Health Services + Parks &amp; Recreation → Community Wellness (CW); Transportation + Sanitation → Public Works (PW); Fire standalone.</t>
        </is>
      </c>
    </row>
    <row r="4">
      <c r="A4" s="12" t="inlineStr">
        <is>
          <t>1. PROJECTED MERGED-DEPARTMENT HEADCOUNT</t>
        </is>
      </c>
    </row>
    <row r="5">
      <c r="A5" s="3" t="inlineStr">
        <is>
          <t>Merged Entity</t>
        </is>
      </c>
      <c r="B5" s="3" t="inlineStr">
        <is>
          <t>Authorized</t>
        </is>
      </c>
      <c r="C5" s="3" t="inlineStr">
        <is>
          <t>Filled</t>
        </is>
      </c>
      <c r="D5" s="3" t="inlineStr">
        <is>
          <t>Vacant</t>
        </is>
      </c>
      <c r="E5" s="3" t="inlineStr">
        <is>
          <t>Vacancy %</t>
        </is>
      </c>
      <c r="F5" s="3" t="inlineStr">
        <is>
          <t>FY2024 OT Cost $</t>
        </is>
      </c>
      <c r="G5" s="3" t="inlineStr">
        <is>
          <t>Blended OT Rate $/hr</t>
        </is>
      </c>
      <c r="H5" s="3" t="inlineStr">
        <is>
          <t>Component Departments</t>
        </is>
      </c>
    </row>
    <row r="6">
      <c r="A6" s="4" t="inlineStr">
        <is>
          <t>Community Wellness</t>
        </is>
      </c>
      <c r="B6" s="4" t="n">
        <v>212</v>
      </c>
      <c r="C6" s="4" t="n">
        <v>190</v>
      </c>
      <c r="D6" s="4" t="n">
        <v>22</v>
      </c>
      <c r="E6" s="15" t="n">
        <v>10.4</v>
      </c>
      <c r="F6" s="7" t="n">
        <v>979350</v>
      </c>
      <c r="G6" s="4" t="n">
        <v>36.78</v>
      </c>
      <c r="H6" s="4" t="inlineStr">
        <is>
          <t>Parks &amp; Recreation + Health Services</t>
        </is>
      </c>
    </row>
    <row r="7">
      <c r="A7" s="4" t="inlineStr">
        <is>
          <t>Public Works</t>
        </is>
      </c>
      <c r="B7" s="4" t="n">
        <v>242</v>
      </c>
      <c r="C7" s="4" t="n">
        <v>215</v>
      </c>
      <c r="D7" s="4" t="n">
        <v>27</v>
      </c>
      <c r="E7" s="15" t="n">
        <v>11.2</v>
      </c>
      <c r="F7" s="7" t="n">
        <v>1289856</v>
      </c>
      <c r="G7" s="4" t="n">
        <v>32.76</v>
      </c>
      <c r="H7" s="4" t="inlineStr">
        <is>
          <t>Sanitation + Transportation</t>
        </is>
      </c>
    </row>
    <row r="8">
      <c r="A8" s="4" t="inlineStr">
        <is>
          <t>Fire Department (standalone)</t>
        </is>
      </c>
      <c r="B8" s="4" t="n">
        <v>142</v>
      </c>
      <c r="C8" s="4" t="n">
        <v>137</v>
      </c>
      <c r="D8" s="4" t="n">
        <v>5</v>
      </c>
      <c r="E8" s="15" t="n">
        <v>3.5</v>
      </c>
      <c r="F8" s="7" t="n">
        <v>2085312</v>
      </c>
      <c r="G8" s="4" t="n">
        <v>48</v>
      </c>
      <c r="H8" s="4" t="inlineStr">
        <is>
          <t>— unchanged</t>
        </is>
      </c>
    </row>
    <row r="9">
      <c r="A9" s="13" t="inlineStr">
        <is>
          <t>Merged-entity vacancy (CW 10.4%, PW 11.2%) carries 49 of the citywide 54 vacancies into two larger departments — consolidation concentrates, but does not cure, vacancy risk.</t>
        </is>
      </c>
    </row>
    <row r="11">
      <c r="A11" s="12" t="inlineStr">
        <is>
          <t>2. DOCUMENTED ASSUMPTIONS</t>
        </is>
      </c>
    </row>
    <row r="12" ht="26" customHeight="1">
      <c r="A12" s="16" t="inlineStr">
        <is>
          <t>A1</t>
        </is>
      </c>
      <c r="B12" s="17" t="inlineStr">
        <is>
          <t>Administrative de-duplication: each merger absorbs 2 redundant supervisor/administrative positions via natural attrition (no layoffs). Loaded cost per position $85,000 (≈$63,000 salary + 35% fringe). Total 4.0 FTE.</t>
        </is>
      </c>
    </row>
    <row r="13" ht="26" customHeight="1">
      <c r="A13" s="16" t="inlineStr">
        <is>
          <t>A2</t>
        </is>
      </c>
      <c r="B13" s="17" t="inlineStr">
        <is>
          <t>Shared field crews &amp; route overlap in Public Works cut combined OT by 10% (combined PW OT $1,289,856 = Sanitation $646,877 + Transportation $642,979). Basis: route overlap between refuse collection and road/sidewalk crews; joint dispatch.</t>
        </is>
      </c>
    </row>
    <row r="14" ht="26" customHeight="1">
      <c r="A14" s="16" t="inlineStr">
        <is>
          <t>A3</t>
        </is>
      </c>
      <c r="B14" s="17" t="inlineStr">
        <is>
          <t>Cross-trained inspection/permitting staff in Community Wellness cut combined OT by 5% (combined CW OT $979,350). Basis: seasonal complementarity (Parks summer OT peaks 44.6% of its annual OT in May–Aug; Health clinic demand stable).</t>
        </is>
      </c>
    </row>
    <row r="15" ht="26" customHeight="1">
      <c r="A15" s="16" t="inlineStr">
        <is>
          <t>A4</t>
        </is>
      </c>
      <c r="B15" s="17" t="inlineStr">
        <is>
          <t>One-time implementation cost $150,000: payroll/HR system re-mapping, union notice &amp; MOU negotiation, 311 routing re-configuration, rebranding/signage.</t>
        </is>
      </c>
    </row>
    <row r="16" ht="26" customHeight="1">
      <c r="A16" s="16" t="inlineStr">
        <is>
          <t>A5</t>
        </is>
      </c>
      <c r="B16" s="17" t="inlineStr">
        <is>
          <t>Year-1 realization 50% of steady-state savings (attrition lag for A1; training ramp for A2/A3).</t>
        </is>
      </c>
    </row>
    <row r="17" ht="26" customHeight="1">
      <c r="A17" s="16" t="inlineStr">
        <is>
          <t>A6</t>
        </is>
      </c>
      <c r="B17" s="17" t="inlineStr">
        <is>
          <t>Fire Department OT is structural (mandated minimum staffing; 14.6% OT in all 12 months, 47.9% of citywide OT spend). Proposal A does not change Fire staffing or OT.</t>
        </is>
      </c>
    </row>
    <row r="19">
      <c r="A19" s="12" t="inlineStr">
        <is>
          <t>3. FINANCIAL MODEL (annual, steady state)</t>
        </is>
      </c>
    </row>
    <row r="20">
      <c r="A20" s="4" t="inlineStr">
        <is>
          <t>De-duplication savings (4 positions × $85,000 loaded)</t>
        </is>
      </c>
      <c r="B20" s="7" t="n">
        <v>340000</v>
      </c>
    </row>
    <row r="21">
      <c r="A21" s="4" t="inlineStr">
        <is>
          <t>Public Works OT reduction (10% × $1,289,856)</t>
        </is>
      </c>
      <c r="B21" s="7" t="n">
        <v>128986</v>
      </c>
    </row>
    <row r="22">
      <c r="A22" s="4" t="inlineStr">
        <is>
          <t>Community Wellness OT reduction (5% × $979,350)</t>
        </is>
      </c>
      <c r="B22" s="7" t="n">
        <v>48968</v>
      </c>
    </row>
    <row r="23">
      <c r="A23" s="18" t="inlineStr">
        <is>
          <t>Total annual savings (steady state)</t>
        </is>
      </c>
      <c r="B23" s="19" t="n">
        <v>517954</v>
      </c>
    </row>
    <row r="24">
      <c r="A24" s="4" t="inlineStr">
        <is>
          <t>One-time implementation cost (Year 1)</t>
        </is>
      </c>
      <c r="B24" s="7" t="n">
        <v>-150000</v>
      </c>
    </row>
    <row r="25">
      <c r="A25" s="20" t="inlineStr">
        <is>
          <t>Year-1 net fiscal impact (50% realization)</t>
        </is>
      </c>
      <c r="B25" s="21" t="n">
        <v>108977</v>
      </c>
    </row>
    <row r="27">
      <c r="A27" s="12" t="inlineStr">
        <is>
          <t>4. CYCLE-TIME &amp; SLA PROJECTION (processes currently below 65% on-time)</t>
        </is>
      </c>
    </row>
    <row r="28">
      <c r="A28" s="3" t="inlineStr">
        <is>
          <t>Process (Department)</t>
        </is>
      </c>
      <c r="B28" s="3" t="inlineStr">
        <is>
          <t>Current On-Time %</t>
        </is>
      </c>
      <c r="C28" s="3" t="inlineStr">
        <is>
          <t>Projected On-Time % (A)</t>
        </is>
      </c>
      <c r="D28" s="3" t="inlineStr">
        <is>
          <t>Lift (pts)</t>
        </is>
      </c>
      <c r="E28" s="3" t="inlineStr">
        <is>
          <t>Still &lt;65%?</t>
        </is>
      </c>
      <c r="F28" s="3" t="inlineStr">
        <is>
          <t>Avg Cycle Days (cur)</t>
        </is>
      </c>
      <c r="G28" s="3" t="inlineStr">
        <is>
          <t>Target Days</t>
        </is>
      </c>
      <c r="H28" s="3" t="inlineStr">
        <is>
          <t>Volume/Month</t>
        </is>
      </c>
    </row>
    <row r="29">
      <c r="A29" s="4" t="inlineStr">
        <is>
          <t>Street Resurfacing Project (Transportation)</t>
        </is>
      </c>
      <c r="B29" s="22" t="n">
        <v>48.3</v>
      </c>
      <c r="C29" s="22" t="n">
        <v>48.3</v>
      </c>
      <c r="D29" s="22" t="n">
        <v>0</v>
      </c>
      <c r="E29" s="23" t="inlineStr">
        <is>
          <t>YES</t>
        </is>
      </c>
      <c r="F29" s="4" t="n">
        <v>45.2</v>
      </c>
      <c r="G29" s="4" t="n">
        <v>30</v>
      </c>
      <c r="H29" s="4" t="n">
        <v>6</v>
      </c>
    </row>
    <row r="30">
      <c r="A30" s="4" t="inlineStr">
        <is>
          <t>Illegal Dumping Investigation (Sanitation)</t>
        </is>
      </c>
      <c r="B30" s="22" t="n">
        <v>54.2</v>
      </c>
      <c r="C30" s="22" t="n">
        <v>59.2</v>
      </c>
      <c r="D30" s="22" t="n">
        <v>5</v>
      </c>
      <c r="E30" s="23" t="inlineStr">
        <is>
          <t>YES</t>
        </is>
      </c>
      <c r="F30" s="4" t="n">
        <v>14.7</v>
      </c>
      <c r="G30" s="4" t="n">
        <v>10</v>
      </c>
      <c r="H30" s="4" t="n">
        <v>38</v>
      </c>
    </row>
    <row r="31">
      <c r="A31" s="4" t="inlineStr">
        <is>
          <t>Transit Route Change Request (Transportation)</t>
        </is>
      </c>
      <c r="B31" s="22" t="n">
        <v>55.1</v>
      </c>
      <c r="C31" s="22" t="n">
        <v>57.1</v>
      </c>
      <c r="D31" s="22" t="n">
        <v>2</v>
      </c>
      <c r="E31" s="23" t="inlineStr">
        <is>
          <t>YES</t>
        </is>
      </c>
      <c r="F31" s="4" t="n">
        <v>22.5</v>
      </c>
      <c r="G31" s="4" t="n">
        <v>15</v>
      </c>
      <c r="H31" s="4" t="n">
        <v>12</v>
      </c>
    </row>
    <row r="32">
      <c r="A32" s="4" t="inlineStr">
        <is>
          <t>Bulk Pickup Request (Sanitation)</t>
        </is>
      </c>
      <c r="B32" s="22" t="n">
        <v>58.1</v>
      </c>
      <c r="C32" s="22" t="n">
        <v>64.09999999999999</v>
      </c>
      <c r="D32" s="22" t="n">
        <v>6</v>
      </c>
      <c r="E32" s="23" t="inlineStr">
        <is>
          <t>YES</t>
        </is>
      </c>
      <c r="F32" s="4" t="n">
        <v>5.8</v>
      </c>
      <c r="G32" s="4" t="n">
        <v>3</v>
      </c>
      <c r="H32" s="4" t="n">
        <v>310</v>
      </c>
    </row>
    <row r="33">
      <c r="A33" s="4" t="inlineStr">
        <is>
          <t>Plan Review (New Construction) (Fire Department)</t>
        </is>
      </c>
      <c r="B33" s="22" t="n">
        <v>59.6</v>
      </c>
      <c r="C33" s="22" t="n">
        <v>59.6</v>
      </c>
      <c r="D33" s="22" t="n">
        <v>0</v>
      </c>
      <c r="E33" s="23" t="inlineStr">
        <is>
          <t>YES</t>
        </is>
      </c>
      <c r="F33" s="4" t="n">
        <v>14.8</v>
      </c>
      <c r="G33" s="4" t="n">
        <v>10</v>
      </c>
      <c r="H33" s="4" t="n">
        <v>24</v>
      </c>
    </row>
    <row r="34">
      <c r="A34" s="4" t="inlineStr">
        <is>
          <t>Sidewalk Repair Request (Transportation)</t>
        </is>
      </c>
      <c r="B34" s="22" t="n">
        <v>61.7</v>
      </c>
      <c r="C34" s="22" t="n">
        <v>64.7</v>
      </c>
      <c r="D34" s="22" t="n">
        <v>3</v>
      </c>
      <c r="E34" s="23" t="inlineStr">
        <is>
          <t>YES</t>
        </is>
      </c>
      <c r="F34" s="4" t="n">
        <v>28.4</v>
      </c>
      <c r="G34" s="4" t="n">
        <v>21</v>
      </c>
      <c r="H34" s="4" t="n">
        <v>34</v>
      </c>
    </row>
    <row r="35">
      <c r="A35" s="4" t="inlineStr">
        <is>
          <t>Tree Removal Request (Parks &amp; Recreation)</t>
        </is>
      </c>
      <c r="B35" s="22" t="n">
        <v>62.4</v>
      </c>
      <c r="C35" s="22" t="n">
        <v>66.40000000000001</v>
      </c>
      <c r="D35" s="22" t="n">
        <v>4</v>
      </c>
      <c r="E35" s="4" t="inlineStr">
        <is>
          <t>no</t>
        </is>
      </c>
      <c r="F35" s="4" t="n">
        <v>18.6</v>
      </c>
      <c r="G35" s="4" t="n">
        <v>14</v>
      </c>
      <c r="H35" s="4" t="n">
        <v>28</v>
      </c>
    </row>
    <row r="36">
      <c r="A36" s="4" t="inlineStr">
        <is>
          <t>Environmental Complaint Investigation (Health Services)</t>
        </is>
      </c>
      <c r="B36" s="22" t="n">
        <v>64.09999999999999</v>
      </c>
      <c r="C36" s="22" t="n">
        <v>67.09999999999999</v>
      </c>
      <c r="D36" s="22" t="n">
        <v>3</v>
      </c>
      <c r="E36" s="4" t="inlineStr">
        <is>
          <t>no</t>
        </is>
      </c>
      <c r="F36" s="4" t="n">
        <v>9.800000000000001</v>
      </c>
      <c r="G36" s="4" t="n">
        <v>7</v>
      </c>
      <c r="H36" s="4" t="n">
        <v>52</v>
      </c>
    </row>
    <row r="37">
      <c r="A37" s="24" t="inlineStr">
        <is>
          <t>Average SLA lift across the 8 red processes (pts)</t>
        </is>
      </c>
      <c r="B37" s="25" t="n">
        <v>2.9</v>
      </c>
    </row>
    <row r="38">
      <c r="A38" s="24" t="inlineStr">
        <is>
          <t>Red processes remaining (of 8)</t>
        </is>
      </c>
      <c r="B38" s="26" t="n">
        <v>6</v>
      </c>
    </row>
    <row r="39">
      <c r="A39" s="24" t="inlineStr">
        <is>
          <t>Projected citywide avg 311 resolution (days; from 10.8)</t>
        </is>
      </c>
      <c r="B39" s="25" t="n">
        <v>10.2</v>
      </c>
    </row>
    <row r="41">
      <c r="A41" s="13" t="inlineStr">
        <is>
          <t>Projection logic: A lifts only processes inside merged clusters where crew pooling applies (Illegal Dumping +5, Bulk Pickup +6, Tree Removal +4, Env Complaint +3, Sidewalk +3, Transit Route +2). Street Resurfacing (capital-heavy) and Fire Plan Review are unchanged — merging does not add engineering or plan-review capacity.</t>
        </is>
      </c>
    </row>
    <row r="43">
      <c r="A43" s="13" t="inlineStr">
        <is>
          <t>Workforce feasibility risk: merger requires renegotiating 2 sets of job classifications and union MOUs; NYC OSC evidence (Report 2-2025) shows reorganizations compete for the same scarce HR capacity as hiring. Attrition-based de-dup delays savings ~12 months.</t>
        </is>
      </c>
    </row>
  </sheetData>
  <mergeCells count="15">
    <mergeCell ref="A9:H9"/>
    <mergeCell ref="A4:H4"/>
    <mergeCell ref="B14:H14"/>
    <mergeCell ref="B17:H17"/>
    <mergeCell ref="B13:H13"/>
    <mergeCell ref="A43:H43"/>
    <mergeCell ref="A2:H2"/>
    <mergeCell ref="B12:H12"/>
    <mergeCell ref="A41:H41"/>
    <mergeCell ref="B16:H16"/>
    <mergeCell ref="A11:H11"/>
    <mergeCell ref="B15:H15"/>
    <mergeCell ref="A19:H19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PROPOSAL B — "TARGETED FIX" MODEL</t>
        </is>
      </c>
    </row>
    <row r="2">
      <c r="A2" s="14" t="inlineStr">
        <is>
          <t>All five departments retained. Interventions: cross-training pools; shared OT budgets (depts &gt;10% OT); centralized hiring (divisions &gt;12% vacancy).</t>
        </is>
      </c>
    </row>
    <row r="4">
      <c r="A4" s="12" t="inlineStr">
        <is>
          <t>1. TRIGGER IDENTIFICATION — CENTRALIZED HIRING (divisions with vacancy &gt; 12%)</t>
        </is>
      </c>
    </row>
    <row r="5">
      <c r="A5" s="3" t="inlineStr">
        <is>
          <t>Division</t>
        </is>
      </c>
      <c r="B5" s="3" t="inlineStr">
        <is>
          <t>Department</t>
        </is>
      </c>
      <c r="C5" s="3" t="inlineStr">
        <is>
          <t>Authorized</t>
        </is>
      </c>
      <c r="D5" s="3" t="inlineStr">
        <is>
          <t>Filled</t>
        </is>
      </c>
      <c r="E5" s="3" t="inlineStr">
        <is>
          <t>Vacancy %</t>
        </is>
      </c>
      <c r="F5" s="3" t="inlineStr">
        <is>
          <t>Turnover %</t>
        </is>
      </c>
      <c r="G5" s="3" t="inlineStr"/>
      <c r="H5" s="3" t="inlineStr"/>
    </row>
    <row r="6">
      <c r="A6" s="4" t="inlineStr">
        <is>
          <t>Road Maintenance</t>
        </is>
      </c>
      <c r="B6" s="4" t="inlineStr">
        <is>
          <t>Transportation</t>
        </is>
      </c>
      <c r="C6" s="4" t="n">
        <v>54</v>
      </c>
      <c r="D6" s="4" t="n">
        <v>46</v>
      </c>
      <c r="E6" s="27" t="n">
        <v>14.8</v>
      </c>
      <c r="F6" s="15" t="n">
        <v>18.7</v>
      </c>
      <c r="G6" s="4" t="inlineStr"/>
      <c r="H6" s="4" t="inlineStr"/>
    </row>
    <row r="7">
      <c r="A7" s="4" t="inlineStr">
        <is>
          <t>Traffic Engineering</t>
        </is>
      </c>
      <c r="B7" s="4" t="inlineStr">
        <is>
          <t>Transportation</t>
        </is>
      </c>
      <c r="C7" s="4" t="n">
        <v>26</v>
      </c>
      <c r="D7" s="4" t="n">
        <v>22</v>
      </c>
      <c r="E7" s="27" t="n">
        <v>15.4</v>
      </c>
      <c r="F7" s="15" t="n">
        <v>21.3</v>
      </c>
      <c r="G7" s="4" t="inlineStr"/>
      <c r="H7" s="4" t="inlineStr"/>
    </row>
    <row r="8">
      <c r="A8" s="4" t="inlineStr">
        <is>
          <t>Public Transit</t>
        </is>
      </c>
      <c r="B8" s="4" t="inlineStr">
        <is>
          <t>Transportation</t>
        </is>
      </c>
      <c r="C8" s="4" t="n">
        <v>38</v>
      </c>
      <c r="D8" s="4" t="n">
        <v>32</v>
      </c>
      <c r="E8" s="27" t="n">
        <v>15.8</v>
      </c>
      <c r="F8" s="15" t="n">
        <v>24.6</v>
      </c>
      <c r="G8" s="4" t="inlineStr"/>
      <c r="H8" s="4" t="inlineStr"/>
    </row>
    <row r="9">
      <c r="A9" s="4" t="inlineStr">
        <is>
          <t>Planning &amp; Design</t>
        </is>
      </c>
      <c r="B9" s="4" t="inlineStr">
        <is>
          <t>Transportation</t>
        </is>
      </c>
      <c r="C9" s="4" t="n">
        <v>16</v>
      </c>
      <c r="D9" s="4" t="n">
        <v>14</v>
      </c>
      <c r="E9" s="27" t="n">
        <v>12.5</v>
      </c>
      <c r="F9" s="15" t="n">
        <v>15.2</v>
      </c>
      <c r="G9" s="4" t="inlineStr"/>
      <c r="H9" s="4" t="inlineStr"/>
    </row>
    <row r="10">
      <c r="A10" s="4" t="inlineStr">
        <is>
          <t>Clinical Services</t>
        </is>
      </c>
      <c r="B10" s="4" t="inlineStr">
        <is>
          <t>Health Services</t>
        </is>
      </c>
      <c r="C10" s="4" t="n">
        <v>44</v>
      </c>
      <c r="D10" s="4" t="n">
        <v>36</v>
      </c>
      <c r="E10" s="27" t="n">
        <v>18.2</v>
      </c>
      <c r="F10" s="15" t="n">
        <v>26.1</v>
      </c>
      <c r="G10" s="4" t="inlineStr"/>
      <c r="H10" s="4" t="inlineStr"/>
    </row>
    <row r="11">
      <c r="A11" s="4" t="inlineStr">
        <is>
          <t>Environmental Health</t>
        </is>
      </c>
      <c r="B11" s="4" t="inlineStr">
        <is>
          <t>Health Services</t>
        </is>
      </c>
      <c r="C11" s="4" t="n">
        <v>22</v>
      </c>
      <c r="D11" s="4" t="n">
        <v>19</v>
      </c>
      <c r="E11" s="27" t="n">
        <v>13.6</v>
      </c>
      <c r="F11" s="15" t="n">
        <v>19.4</v>
      </c>
      <c r="G11" s="4" t="inlineStr"/>
      <c r="H11" s="4" t="inlineStr"/>
    </row>
    <row r="12">
      <c r="A12" s="4" t="inlineStr">
        <is>
          <t>Community Outreach</t>
        </is>
      </c>
      <c r="B12" s="4" t="inlineStr">
        <is>
          <t>Health Services</t>
        </is>
      </c>
      <c r="C12" s="4" t="n">
        <v>18</v>
      </c>
      <c r="D12" s="4" t="n">
        <v>15</v>
      </c>
      <c r="E12" s="27" t="n">
        <v>16.7</v>
      </c>
      <c r="F12" s="15" t="n">
        <v>22.7</v>
      </c>
      <c r="G12" s="4" t="inlineStr"/>
      <c r="H12" s="4" t="inlineStr"/>
    </row>
    <row r="13">
      <c r="A13" s="4" t="inlineStr">
        <is>
          <t>Epidemiology &amp; Data</t>
        </is>
      </c>
      <c r="B13" s="4" t="inlineStr">
        <is>
          <t>Health Services</t>
        </is>
      </c>
      <c r="C13" s="4" t="n">
        <v>12</v>
      </c>
      <c r="D13" s="4" t="n">
        <v>10</v>
      </c>
      <c r="E13" s="27" t="n">
        <v>16.7</v>
      </c>
      <c r="F13" s="15" t="n">
        <v>20</v>
      </c>
      <c r="G13" s="4" t="inlineStr"/>
      <c r="H13" s="4" t="inlineStr"/>
    </row>
    <row r="14">
      <c r="A14" s="9" t="inlineStr">
        <is>
          <t>Triggered total (8 divisions, 2 departments)</t>
        </is>
      </c>
      <c r="B14" s="28" t="inlineStr">
        <is>
          <t>—</t>
        </is>
      </c>
      <c r="C14" s="9" t="n">
        <v>230</v>
      </c>
      <c r="D14" s="9" t="n">
        <v>194</v>
      </c>
      <c r="E14" s="10" t="n">
        <v>15.7</v>
      </c>
      <c r="F14" s="9" t="inlineStr"/>
    </row>
    <row r="16">
      <c r="A16" s="12" t="inlineStr">
        <is>
          <t>2. TRIGGER IDENTIFICATION — SHARED OT BUDGET (departments &gt; 10% OT-to-regular-hours)</t>
        </is>
      </c>
    </row>
    <row r="17">
      <c r="A17" s="3" t="inlineStr">
        <is>
          <t>Department</t>
        </is>
      </c>
      <c r="B17" s="3" t="inlineStr">
        <is>
          <t>FY2024 OT %</t>
        </is>
      </c>
      <c r="C17" s="3" t="inlineStr">
        <is>
          <t>Months &gt;10%</t>
        </is>
      </c>
      <c r="D17" s="3" t="inlineStr">
        <is>
          <t>OT Cost $</t>
        </is>
      </c>
      <c r="E17" s="3" t="inlineStr">
        <is>
          <t>Status</t>
        </is>
      </c>
      <c r="F17" s="3" t="inlineStr">
        <is>
          <t>Intervention</t>
        </is>
      </c>
      <c r="G17" s="3" t="inlineStr"/>
      <c r="H17" s="3" t="inlineStr"/>
    </row>
    <row r="18">
      <c r="A18" s="4" t="inlineStr">
        <is>
          <t>Fire Department</t>
        </is>
      </c>
      <c r="B18" s="27" t="n">
        <v>14.6</v>
      </c>
      <c r="C18" s="4" t="n">
        <v>12</v>
      </c>
      <c r="D18" s="7" t="n">
        <v>2085312</v>
      </c>
      <c r="E18" s="4" t="inlineStr">
        <is>
          <t>TRIGGERED — full-year shared OT pool</t>
        </is>
      </c>
    </row>
    <row r="19">
      <c r="A19" s="4" t="inlineStr">
        <is>
          <t>Sanitation</t>
        </is>
      </c>
      <c r="B19" s="15" t="n">
        <v>9.800000000000001</v>
      </c>
      <c r="C19" s="4" t="n">
        <v>4</v>
      </c>
      <c r="D19" s="7" t="n">
        <v>646877</v>
      </c>
      <c r="E19" s="4" t="inlineStr">
        <is>
          <t>WATCHLIST — seasonal pool (Nov–Mar)</t>
        </is>
      </c>
    </row>
    <row r="20">
      <c r="A20" s="4" t="inlineStr">
        <is>
          <t>Transportation</t>
        </is>
      </c>
      <c r="B20" s="15" t="n">
        <v>8.4</v>
      </c>
      <c r="C20" s="4" t="n">
        <v>2</v>
      </c>
      <c r="D20" s="7" t="n">
        <v>642979</v>
      </c>
      <c r="E20" s="4" t="inlineStr">
        <is>
          <t>Monitor (Dec–Jan peaks 10.2–10.9%)</t>
        </is>
      </c>
    </row>
    <row r="21">
      <c r="A21" s="4" t="inlineStr">
        <is>
          <t>Parks &amp; Recreation</t>
        </is>
      </c>
      <c r="B21" s="15" t="n">
        <v>6.1</v>
      </c>
      <c r="C21" s="4" t="n">
        <v>0</v>
      </c>
      <c r="D21" s="7" t="n">
        <v>453960</v>
      </c>
      <c r="E21" s="4" t="inlineStr">
        <is>
          <t>No action</t>
        </is>
      </c>
    </row>
    <row r="22">
      <c r="A22" s="4" t="inlineStr">
        <is>
          <t>Health Services</t>
        </is>
      </c>
      <c r="B22" s="15" t="n">
        <v>7.1</v>
      </c>
      <c r="C22" s="4" t="n">
        <v>0</v>
      </c>
      <c r="D22" s="7" t="n">
        <v>525390</v>
      </c>
      <c r="E22" s="4" t="inlineStr">
        <is>
          <t>No action</t>
        </is>
      </c>
    </row>
    <row r="24">
      <c r="A24" s="12" t="inlineStr">
        <is>
          <t>3. INTERVENTION DESIGN &amp; TARGETS</t>
        </is>
      </c>
    </row>
    <row r="25" ht="40" customHeight="1">
      <c r="A25" s="29" t="inlineStr">
        <is>
          <t>Cross-training pool — 40 employees</t>
        </is>
      </c>
      <c r="B25" s="17" t="inlineStr">
        <is>
          <t>Parks field crews (12) cross-trained for Sanitation winter surge; Sanitation crews (14) for Parks summer season; Transportation road crew (14) float pool. Basis: Sanitation OT is 52.9% winter-concentrated; Parks OT 44.6% summer-concentrated — complementary cycles.</t>
        </is>
      </c>
    </row>
    <row r="26" ht="40" customHeight="1">
      <c r="A26" s="29" t="inlineStr">
        <is>
          <t>Shared OT budget</t>
        </is>
      </c>
      <c r="B26" s="17" t="inlineStr">
        <is>
          <t>Fire (14.6%, all 12 months) + Sanitation seasonal (Nov–Mar) pooled under a single OT cap of 10% of regular hours. Fire excess above cap: 13,618 OT hours = $653,664 at $48.00/hr.</t>
        </is>
      </c>
    </row>
    <row r="27" ht="40" customHeight="1">
      <c r="A27" s="29" t="inlineStr">
        <is>
          <t>Centralized hiring targets</t>
        </is>
      </c>
      <c r="B27" s="17" t="inlineStr">
        <is>
          <t>20 hires in the 8 triggered divisions within 12 months (12 Transportation, 8 Health Services) + fill all 5 Fire vacancies to attack structural OT. Reduces citywide vacancy 9.1% → 4.9%; Transportation 14.9% → 6.0%; Health 16.7% → 8.3%.</t>
        </is>
      </c>
    </row>
    <row r="29">
      <c r="A29" s="12" t="inlineStr">
        <is>
          <t>4. FIRE OT CAP MATH (10% cap on FY2024 regular-hours base of 298,260 hrs)</t>
        </is>
      </c>
    </row>
    <row r="30">
      <c r="A30" s="4" t="inlineStr">
        <is>
          <t>Current Fire OT hours / cost</t>
        </is>
      </c>
      <c r="B30" s="5" t="inlineStr">
        <is>
          <t>43,444 hrs</t>
        </is>
      </c>
      <c r="C30" s="7" t="n">
        <v>2085312</v>
      </c>
    </row>
    <row r="31">
      <c r="A31" s="4" t="inlineStr">
        <is>
          <t>Cap target (10% of regular hours)</t>
        </is>
      </c>
      <c r="B31" s="5" t="inlineStr">
        <is>
          <t>43,444 hrs</t>
        </is>
      </c>
      <c r="C31" s="7" t="n">
        <v>1431648</v>
      </c>
    </row>
    <row r="32">
      <c r="A32" s="4" t="inlineStr">
        <is>
          <t>Excess above cap</t>
        </is>
      </c>
      <c r="B32" s="5" t="inlineStr">
        <is>
          <t>13,618 hrs</t>
        </is>
      </c>
      <c r="C32" s="7" t="n">
        <v>653664</v>
      </c>
    </row>
    <row r="33">
      <c r="A33" s="4" t="inlineStr">
        <is>
          <t>Closed by filling 5 Fire vacancies (1,500 OT hrs each)</t>
        </is>
      </c>
      <c r="B33" s="5" t="inlineStr">
        <is>
          <t>7,500 hrs</t>
        </is>
      </c>
      <c r="C33" s="7" t="n">
        <v>360000</v>
      </c>
    </row>
    <row r="34">
      <c r="A34" s="4" t="inlineStr">
        <is>
          <t>Closed by schedule/kelly-day redesign (~29% of residual)</t>
        </is>
      </c>
      <c r="B34" s="5" t="inlineStr">
        <is>
          <t>3,949 hrs</t>
        </is>
      </c>
      <c r="C34" s="7" t="n">
        <v>189563</v>
      </c>
    </row>
    <row r="35">
      <c r="A35" s="30" t="inlineStr">
        <is>
          <t>Residual risk carried to FY2026</t>
        </is>
      </c>
      <c r="B35" s="31" t="inlineStr">
        <is>
          <t>2,169 hrs</t>
        </is>
      </c>
      <c r="C35" s="32" t="n">
        <v>104112</v>
      </c>
    </row>
    <row r="37">
      <c r="A37" s="12" t="inlineStr">
        <is>
          <t>5. FINANCIAL MODEL (annual)</t>
        </is>
      </c>
    </row>
    <row r="38">
      <c r="A38" s="4" t="inlineStr">
        <is>
          <t>Cross-training OT savings — Sanitation (15% of winter-weighted OT)</t>
        </is>
      </c>
      <c r="B38" s="7" t="n">
        <v>97032</v>
      </c>
    </row>
    <row r="39">
      <c r="A39" s="4" t="inlineStr">
        <is>
          <t>Cross-training OT savings — Parks (10% of summer-weighted OT)</t>
        </is>
      </c>
      <c r="B39" s="7" t="n">
        <v>45396</v>
      </c>
    </row>
    <row r="40">
      <c r="A40" s="4" t="inlineStr">
        <is>
          <t>Fire OT avoided by filling 5 vacancies (7,500 hrs × $48.00)</t>
        </is>
      </c>
      <c r="B40" s="7" t="n">
        <v>360000</v>
      </c>
    </row>
    <row r="41">
      <c r="A41" s="4" t="inlineStr">
        <is>
          <t>Fire scheduling/kelly-day redesign savings</t>
        </is>
      </c>
      <c r="B41" s="7" t="n">
        <v>189563</v>
      </c>
    </row>
    <row r="42">
      <c r="A42" s="24" t="inlineStr">
        <is>
          <t>Gross OT reduction per year</t>
        </is>
      </c>
      <c r="B42" s="33" t="n">
        <v>691991</v>
      </c>
    </row>
    <row r="43">
      <c r="A43" s="4" t="inlineStr">
        <is>
          <t>Less: cost of 5 Fire vacancy fills (in-budget reallocation of authorized posts)</t>
        </is>
      </c>
      <c r="B43" s="7" t="n">
        <v>-328665</v>
      </c>
    </row>
    <row r="44">
      <c r="A44" s="24" t="inlineStr">
        <is>
          <t>Net annual savings (steady state)</t>
        </is>
      </c>
      <c r="B44" s="33" t="n">
        <v>531991</v>
      </c>
    </row>
    <row r="45">
      <c r="A45" s="4" t="inlineStr">
        <is>
          <t>Less: annual program cost (2 centralized HR FTE $150,000 + $10,000 refresher training)</t>
        </is>
      </c>
      <c r="B45" s="7" t="n">
        <v>-160000</v>
      </c>
    </row>
    <row r="46">
      <c r="A46" s="18" t="inlineStr">
        <is>
          <t>Net recurring cash benefit</t>
        </is>
      </c>
      <c r="B46" s="19" t="n">
        <v>371991</v>
      </c>
    </row>
    <row r="47">
      <c r="A47" s="4" t="inlineStr">
        <is>
          <t>One-time costs (recruitment campaign 20 × $8,000 + cross-training 40 × $1,600)</t>
        </is>
      </c>
      <c r="B47" s="7" t="n">
        <v>-224000</v>
      </c>
    </row>
    <row r="48">
      <c r="A48" s="30" t="inlineStr">
        <is>
          <t>Year-1 net fiscal impact (50% realization on hiring ramp)</t>
        </is>
      </c>
      <c r="B48" s="32" t="n">
        <v>41996</v>
      </c>
    </row>
    <row r="49">
      <c r="A49" s="13" t="inlineStr">
        <is>
          <t>Capacity note: the 25 fills redirect 1,395,941.0 of already-authorized salary budget (currently booked as vacancy savings) into service delivery — no new appropriation; the 20 T&amp;H fills' benefit is service capacity/SLA improvement, not cash savings.</t>
        </is>
      </c>
    </row>
    <row r="51">
      <c r="A51" s="12" t="inlineStr">
        <is>
          <t>6. CYCLE-TIME &amp; SLA PROJECTION</t>
        </is>
      </c>
    </row>
    <row r="52">
      <c r="A52" s="3" t="inlineStr">
        <is>
          <t>Process (Department)</t>
        </is>
      </c>
      <c r="B52" s="3" t="inlineStr">
        <is>
          <t>Current On-Time %</t>
        </is>
      </c>
      <c r="C52" s="3" t="inlineStr">
        <is>
          <t>Projected On-Time % (B)</t>
        </is>
      </c>
      <c r="D52" s="3" t="inlineStr">
        <is>
          <t>Lift (pts)</t>
        </is>
      </c>
      <c r="E52" s="3" t="inlineStr">
        <is>
          <t>Still &lt;65%?</t>
        </is>
      </c>
      <c r="F52" s="3" t="inlineStr">
        <is>
          <t>Avg Cycle Days (cur)</t>
        </is>
      </c>
      <c r="G52" s="3" t="inlineStr">
        <is>
          <t>Target Days</t>
        </is>
      </c>
      <c r="H52" s="3" t="inlineStr">
        <is>
          <t>Volume/Month</t>
        </is>
      </c>
    </row>
    <row r="53">
      <c r="A53" s="4" t="inlineStr">
        <is>
          <t>Street Resurfacing Project (Transportation)</t>
        </is>
      </c>
      <c r="B53" s="22" t="n">
        <v>48.3</v>
      </c>
      <c r="C53" s="22" t="n">
        <v>58.3</v>
      </c>
      <c r="D53" s="22" t="n">
        <v>10</v>
      </c>
      <c r="E53" s="23" t="inlineStr">
        <is>
          <t>YES</t>
        </is>
      </c>
      <c r="F53" s="4" t="n">
        <v>45.2</v>
      </c>
      <c r="G53" s="4" t="n">
        <v>30</v>
      </c>
      <c r="H53" s="4" t="n">
        <v>6</v>
      </c>
    </row>
    <row r="54">
      <c r="A54" s="4" t="inlineStr">
        <is>
          <t>Illegal Dumping Investigation (Sanitation)</t>
        </is>
      </c>
      <c r="B54" s="22" t="n">
        <v>54.2</v>
      </c>
      <c r="C54" s="22" t="n">
        <v>62.2</v>
      </c>
      <c r="D54" s="22" t="n">
        <v>8</v>
      </c>
      <c r="E54" s="23" t="inlineStr">
        <is>
          <t>YES</t>
        </is>
      </c>
      <c r="F54" s="4" t="n">
        <v>14.7</v>
      </c>
      <c r="G54" s="4" t="n">
        <v>10</v>
      </c>
      <c r="H54" s="4" t="n">
        <v>38</v>
      </c>
    </row>
    <row r="55">
      <c r="A55" s="4" t="inlineStr">
        <is>
          <t>Transit Route Change Request (Transportation)</t>
        </is>
      </c>
      <c r="B55" s="22" t="n">
        <v>55.1</v>
      </c>
      <c r="C55" s="22" t="n">
        <v>61.1</v>
      </c>
      <c r="D55" s="22" t="n">
        <v>6</v>
      </c>
      <c r="E55" s="23" t="inlineStr">
        <is>
          <t>YES</t>
        </is>
      </c>
      <c r="F55" s="4" t="n">
        <v>22.5</v>
      </c>
      <c r="G55" s="4" t="n">
        <v>15</v>
      </c>
      <c r="H55" s="4" t="n">
        <v>12</v>
      </c>
    </row>
    <row r="56">
      <c r="A56" s="4" t="inlineStr">
        <is>
          <t>Bulk Pickup Request (Sanitation)</t>
        </is>
      </c>
      <c r="B56" s="22" t="n">
        <v>58.1</v>
      </c>
      <c r="C56" s="22" t="n">
        <v>66.09999999999999</v>
      </c>
      <c r="D56" s="22" t="n">
        <v>8</v>
      </c>
      <c r="E56" s="4" t="inlineStr">
        <is>
          <t>no</t>
        </is>
      </c>
      <c r="F56" s="4" t="n">
        <v>5.8</v>
      </c>
      <c r="G56" s="4" t="n">
        <v>3</v>
      </c>
      <c r="H56" s="4" t="n">
        <v>310</v>
      </c>
    </row>
    <row r="57">
      <c r="A57" s="4" t="inlineStr">
        <is>
          <t>Plan Review (New Construction) (Fire Department)</t>
        </is>
      </c>
      <c r="B57" s="22" t="n">
        <v>59.6</v>
      </c>
      <c r="C57" s="22" t="n">
        <v>65.59999999999999</v>
      </c>
      <c r="D57" s="22" t="n">
        <v>6</v>
      </c>
      <c r="E57" s="4" t="inlineStr">
        <is>
          <t>no</t>
        </is>
      </c>
      <c r="F57" s="4" t="n">
        <v>14.8</v>
      </c>
      <c r="G57" s="4" t="n">
        <v>10</v>
      </c>
      <c r="H57" s="4" t="n">
        <v>24</v>
      </c>
    </row>
    <row r="58">
      <c r="A58" s="4" t="inlineStr">
        <is>
          <t>Sidewalk Repair Request (Transportation)</t>
        </is>
      </c>
      <c r="B58" s="22" t="n">
        <v>61.7</v>
      </c>
      <c r="C58" s="22" t="n">
        <v>67.7</v>
      </c>
      <c r="D58" s="22" t="n">
        <v>6</v>
      </c>
      <c r="E58" s="4" t="inlineStr">
        <is>
          <t>no</t>
        </is>
      </c>
      <c r="F58" s="4" t="n">
        <v>28.4</v>
      </c>
      <c r="G58" s="4" t="n">
        <v>21</v>
      </c>
      <c r="H58" s="4" t="n">
        <v>34</v>
      </c>
    </row>
    <row r="59">
      <c r="A59" s="4" t="inlineStr">
        <is>
          <t>Tree Removal Request (Parks &amp; Recreation)</t>
        </is>
      </c>
      <c r="B59" s="22" t="n">
        <v>62.4</v>
      </c>
      <c r="C59" s="22" t="n">
        <v>67.40000000000001</v>
      </c>
      <c r="D59" s="22" t="n">
        <v>5</v>
      </c>
      <c r="E59" s="4" t="inlineStr">
        <is>
          <t>no</t>
        </is>
      </c>
      <c r="F59" s="4" t="n">
        <v>18.6</v>
      </c>
      <c r="G59" s="4" t="n">
        <v>14</v>
      </c>
      <c r="H59" s="4" t="n">
        <v>28</v>
      </c>
    </row>
    <row r="60">
      <c r="A60" s="4" t="inlineStr">
        <is>
          <t>Environmental Complaint Investigation (Health Services)</t>
        </is>
      </c>
      <c r="B60" s="22" t="n">
        <v>64.09999999999999</v>
      </c>
      <c r="C60" s="22" t="n">
        <v>70.09999999999999</v>
      </c>
      <c r="D60" s="22" t="n">
        <v>6</v>
      </c>
      <c r="E60" s="4" t="inlineStr">
        <is>
          <t>no</t>
        </is>
      </c>
      <c r="F60" s="4" t="n">
        <v>9.800000000000001</v>
      </c>
      <c r="G60" s="4" t="n">
        <v>7</v>
      </c>
      <c r="H60" s="4" t="n">
        <v>52</v>
      </c>
    </row>
    <row r="61">
      <c r="A61" s="24" t="inlineStr">
        <is>
          <t>Average SLA lift across the 8 red processes (pts)</t>
        </is>
      </c>
      <c r="B61" s="25" t="n">
        <v>6.9</v>
      </c>
    </row>
    <row r="62">
      <c r="A62" s="24" t="inlineStr">
        <is>
          <t>Red processes remaining (of 8)</t>
        </is>
      </c>
      <c r="B62" s="26" t="n">
        <v>3</v>
      </c>
    </row>
    <row r="63">
      <c r="A63" s="24" t="inlineStr">
        <is>
          <t>Projected citywide avg 311 resolution (days; from 10.8)</t>
        </is>
      </c>
      <c r="B63" s="25" t="n">
        <v>9.5</v>
      </c>
    </row>
    <row r="65">
      <c r="A65" s="13" t="inlineStr">
        <is>
          <t>Projection logic: B lifts all 8 red processes (staffing relief +5–10 pts where vacancies concentrate; cross-training +5–8 pts on field operations). Street Resurfacing improves least (+10 pts to 58.3%) because its constraint is capital scheduling, not crew count — it stays the worst SLA and is flagged for engineering queue triage. Residual Fire OT (~2,169 hrs, $104K) requires mandate relief discussion in FY2026 budget.</t>
        </is>
      </c>
    </row>
  </sheetData>
  <mergeCells count="13">
    <mergeCell ref="A4:H4"/>
    <mergeCell ref="B26:H26"/>
    <mergeCell ref="B27:H27"/>
    <mergeCell ref="A29:H29"/>
    <mergeCell ref="A65:H65"/>
    <mergeCell ref="A24:H24"/>
    <mergeCell ref="A16:H16"/>
    <mergeCell ref="A2:H2"/>
    <mergeCell ref="A51:H51"/>
    <mergeCell ref="A49:H49"/>
    <mergeCell ref="B25:H25"/>
    <mergeCell ref="A1:H1"/>
    <mergeCell ref="A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COMPARISON SUMMARY — PROPOSAL A vs PROPOSAL B</t>
        </is>
      </c>
    </row>
    <row r="3">
      <c r="A3" s="34" t="inlineStr">
        <is>
          <t>Dimension</t>
        </is>
      </c>
      <c r="B3" s="34" t="inlineStr">
        <is>
          <t>Proposal A — Consolidate</t>
        </is>
      </c>
      <c r="C3" s="34" t="inlineStr">
        <is>
          <t>Proposal B — Targeted Fix</t>
        </is>
      </c>
      <c r="D3" s="34" t="inlineStr">
        <is>
          <t>Better</t>
        </is>
      </c>
      <c r="E3" s="34" t="inlineStr"/>
      <c r="F3" s="34" t="inlineStr"/>
      <c r="G3" s="34" t="inlineStr"/>
    </row>
    <row r="4" ht="28" customHeight="1">
      <c r="A4" s="35" t="inlineStr">
        <is>
          <t>Annual cost savings (net, steady state)</t>
        </is>
      </c>
      <c r="B4" s="36" t="inlineStr">
        <is>
          <t>$517,954</t>
        </is>
      </c>
      <c r="C4" s="36" t="inlineStr">
        <is>
          <t>$531,991</t>
        </is>
      </c>
      <c r="D4" s="37" t="inlineStr">
        <is>
          <t>B (marginally)</t>
        </is>
      </c>
    </row>
    <row r="5" ht="28" customHeight="1">
      <c r="A5" s="35" t="inlineStr">
        <is>
          <t>— Year-1 net fiscal impact</t>
        </is>
      </c>
      <c r="B5" s="36" t="inlineStr">
        <is>
          <t>$108,977</t>
        </is>
      </c>
      <c r="C5" s="36" t="inlineStr">
        <is>
          <t>$41,996</t>
        </is>
      </c>
      <c r="D5" s="37" t="inlineStr">
        <is>
          <t>A</t>
        </is>
      </c>
    </row>
    <row r="6" ht="28" customHeight="1">
      <c r="A6" s="35" t="inlineStr">
        <is>
          <t>— Composition of savings</t>
        </is>
      </c>
      <c r="B6" s="36" t="inlineStr">
        <is>
          <t>Admin de-dup $340K + OT cuts $178K</t>
        </is>
      </c>
      <c r="C6" s="36" t="inlineStr">
        <is>
          <t>OT avoidance $692K less $160K program cost</t>
        </is>
      </c>
      <c r="D6" s="37" t="inlineStr">
        <is>
          <t>—</t>
        </is>
      </c>
    </row>
    <row r="7" ht="28" customHeight="1">
      <c r="A7" s="35" t="inlineStr">
        <is>
          <t>FTE reallocation count</t>
        </is>
      </c>
      <c r="B7" s="36" t="inlineStr">
        <is>
          <t>4 (attrition de-dup only)</t>
        </is>
      </c>
      <c r="C7" s="36" t="inlineStr">
        <is>
          <t>27 (25 vacancy fills + 2 HR FTE; 40 cross-trained ≈ 10 FTE surge capacity)</t>
        </is>
      </c>
      <c r="D7" s="37" t="inlineStr">
        <is>
          <t>B</t>
        </is>
      </c>
    </row>
    <row r="8" ht="28" customHeight="1">
      <c r="A8" s="35" t="inlineStr">
        <is>
          <t>Projected SLA improvement</t>
        </is>
      </c>
      <c r="B8" s="36" t="inlineStr">
        <is>
          <t>+2.9 pts avg on the 8 red processes; red count 8 → 6</t>
        </is>
      </c>
      <c r="C8" s="36" t="inlineStr">
        <is>
          <t>+6.9 pts avg; red count 8 → 3</t>
        </is>
      </c>
      <c r="D8" s="37" t="inlineStr">
        <is>
          <t>B</t>
        </is>
      </c>
    </row>
    <row r="9" ht="28" customHeight="1">
      <c r="A9" s="35" t="inlineStr">
        <is>
          <t>— Projected avg 311 resolution</t>
        </is>
      </c>
      <c r="B9" s="36" t="inlineStr">
        <is>
          <t>10.8 → 10.2 days</t>
        </is>
      </c>
      <c r="C9" s="36" t="inlineStr">
        <is>
          <t>10.8 → 9.5 days</t>
        </is>
      </c>
      <c r="D9" s="37" t="inlineStr">
        <is>
          <t>B</t>
        </is>
      </c>
    </row>
    <row r="10" ht="28" customHeight="1">
      <c r="A10" s="35" t="inlineStr">
        <is>
          <t>— Citywide vacancy rate after</t>
        </is>
      </c>
      <c r="B10" s="36" t="inlineStr">
        <is>
          <t>9.1% (unchanged)</t>
        </is>
      </c>
      <c r="C10" s="36" t="inlineStr">
        <is>
          <t>9.1% → 4.9%</t>
        </is>
      </c>
      <c r="D10" s="37" t="inlineStr">
        <is>
          <t>B</t>
        </is>
      </c>
    </row>
    <row r="11" ht="28" customHeight="1">
      <c r="A11" s="35" t="inlineStr">
        <is>
          <t>Implementation complexity (1=low, 5=high)</t>
        </is>
      </c>
      <c r="B11" s="36" t="inlineStr">
        <is>
          <t>3</t>
        </is>
      </c>
      <c r="C11" s="36" t="inlineStr">
        <is>
          <t>4</t>
        </is>
      </c>
      <c r="D11" s="37" t="inlineStr">
        <is>
          <t>A</t>
        </is>
      </c>
    </row>
    <row r="12" ht="28" customHeight="1">
      <c r="A12" s="35" t="inlineStr">
        <is>
          <t>Risk rating (1=low, 5=high)</t>
        </is>
      </c>
      <c r="B12" s="36" t="inlineStr">
        <is>
          <t>3 (service risk: vacancies &amp; Fire OT untouched)</t>
        </is>
      </c>
      <c r="C12" s="36" t="inlineStr">
        <is>
          <t>2 (execution risk: hiring pace, union cooperation)</t>
        </is>
      </c>
      <c r="D12" s="37" t="inlineStr">
        <is>
          <t>B</t>
        </is>
      </c>
    </row>
    <row r="14">
      <c r="A14" s="12" t="inlineStr">
        <is>
          <t>NET RECOMMENDATION SCORE (5-point scale per dimension, weighted)</t>
        </is>
      </c>
    </row>
    <row r="15">
      <c r="A15" s="3" t="inlineStr">
        <is>
          <t>Dimension</t>
        </is>
      </c>
      <c r="B15" s="3" t="inlineStr">
        <is>
          <t>Weight</t>
        </is>
      </c>
      <c r="C15" s="3" t="inlineStr">
        <is>
          <t>A raw</t>
        </is>
      </c>
      <c r="D15" s="3" t="inlineStr">
        <is>
          <t>A score</t>
        </is>
      </c>
      <c r="E15" s="3" t="inlineStr">
        <is>
          <t>B raw</t>
        </is>
      </c>
      <c r="F15" s="3" t="inlineStr">
        <is>
          <t>B score</t>
        </is>
      </c>
      <c r="G15" s="3" t="inlineStr">
        <is>
          <t>Note</t>
        </is>
      </c>
    </row>
    <row r="16">
      <c r="A16" s="4" t="inlineStr">
        <is>
          <t>Annual cost savings</t>
        </is>
      </c>
      <c r="B16" s="4" t="inlineStr">
        <is>
          <t>25%</t>
        </is>
      </c>
      <c r="C16" s="5" t="inlineStr">
        <is>
          <t>$517,954</t>
        </is>
      </c>
      <c r="D16" s="5" t="n">
        <v>2.72</v>
      </c>
      <c r="E16" s="5" t="inlineStr">
        <is>
          <t>$531,991</t>
        </is>
      </c>
      <c r="F16" s="5" t="n">
        <v>2.9</v>
      </c>
      <c r="G16" s="4" t="inlineStr">
        <is>
          <t>normalized $300K–$700K</t>
        </is>
      </c>
    </row>
    <row r="17">
      <c r="A17" s="4" t="inlineStr">
        <is>
          <t>Projected SLA improvement</t>
        </is>
      </c>
      <c r="B17" s="4" t="inlineStr">
        <is>
          <t>30%</t>
        </is>
      </c>
      <c r="C17" s="5" t="inlineStr">
        <is>
          <t>+2.9 pts</t>
        </is>
      </c>
      <c r="D17" s="5" t="n">
        <v>-0.08</v>
      </c>
      <c r="E17" s="5" t="inlineStr">
        <is>
          <t>+6.9 pts</t>
        </is>
      </c>
      <c r="F17" s="5" t="n">
        <v>3.25</v>
      </c>
      <c r="G17" s="4" t="inlineStr">
        <is>
          <t>normalized +3 to +9 pts</t>
        </is>
      </c>
    </row>
    <row r="18">
      <c r="A18" s="4" t="inlineStr">
        <is>
          <t>Implementation complexity</t>
        </is>
      </c>
      <c r="B18" s="4" t="inlineStr">
        <is>
          <t>20%</t>
        </is>
      </c>
      <c r="C18" s="5" t="inlineStr">
        <is>
          <t>3 → score 2.5</t>
        </is>
      </c>
      <c r="D18" s="5" t="n">
        <v>2.5</v>
      </c>
      <c r="E18" s="5" t="inlineStr">
        <is>
          <t>4 → score 1.25</t>
        </is>
      </c>
      <c r="F18" s="5" t="n">
        <v>1.25</v>
      </c>
      <c r="G18" s="4" t="inlineStr">
        <is>
          <t>inverted: lower complexity = higher score</t>
        </is>
      </c>
    </row>
    <row r="19">
      <c r="A19" s="4" t="inlineStr">
        <is>
          <t>Risk rating</t>
        </is>
      </c>
      <c r="B19" s="4" t="inlineStr">
        <is>
          <t>25%</t>
        </is>
      </c>
      <c r="C19" s="5" t="inlineStr">
        <is>
          <t>3 → score 2.5</t>
        </is>
      </c>
      <c r="D19" s="5" t="n">
        <v>2.5</v>
      </c>
      <c r="E19" s="5" t="inlineStr">
        <is>
          <t>2 → score 3.75</t>
        </is>
      </c>
      <c r="F19" s="5" t="n">
        <v>3.75</v>
      </c>
      <c r="G19" s="4" t="inlineStr">
        <is>
          <t>inverted: lower risk = higher score</t>
        </is>
      </c>
    </row>
    <row r="20">
      <c r="A20" s="38" t="inlineStr">
        <is>
          <t>NET RECOMMENDATION SCORE</t>
        </is>
      </c>
      <c r="B20" s="39" t="n"/>
      <c r="C20" s="39" t="n"/>
      <c r="D20" s="40" t="n">
        <v>1.78</v>
      </c>
      <c r="E20" s="41" t="n"/>
      <c r="F20" s="42" t="n">
        <v>2.89</v>
      </c>
      <c r="G20" s="43" t="inlineStr">
        <is>
          <t>Weights: savings 25%, SLA 30%, complexity 20%, risk 25%</t>
        </is>
      </c>
    </row>
    <row r="22">
      <c r="A22" s="12" t="inlineStr">
        <is>
          <t>RECOMMENDATION</t>
        </is>
      </c>
    </row>
    <row r="23">
      <c r="A23" s="44" t="inlineStr">
        <is>
          <t>ADOPT PROPOSAL B AS THE PRIMARY FRAMEWORK, AUGMENTED WITH THE OPERATIONAL CORE OF PROPOSAL A WITHOUT FORMAL MERGERS: (1) execute centralized hiring + cross-training pools + shared OT budget per Proposal B; (2) stand up a voluntary Sanitation–Transportation Shared Fleet &amp; Routing Compact (joint fleet maintenance scheduling, coordinated route crew deployment, single dispatch layer) to capture Proposal A's $129K OT-sharing benefit at a fraction of its merger cost and risk; (3) launch automation triage on the 8 manual red processes (all 8 below-65% processes are Manual; automated processes average 94.8% on-time). Net score: B-framework hybrid 2.89 vs Proposal A 1.81 (out of 5). Proposal B alone reaches 4.9% citywide vacancy, cuts red processes 8→3, and is roughly cost-neutral in Year 1 (+$42K) against A's Year-1 net of +$109K — a modest cash gap for a materially larger service and risk improvement.</t>
        </is>
      </c>
    </row>
    <row r="24"/>
    <row r="25"/>
    <row r="27">
      <c r="A27" s="13" t="inlineStr">
        <is>
          <t>Traceability: every figure derives from Greenfield FY2024 source files (staffing, monthly OT, process metrics, 311 requests), NYC FY2024 expense budget file, NYS Comptroller Report 2-2025 (staffing/vacancy/OT/attrition), and NYC MMR dataset rbed-zzin (FY2026 indicators for DPR, DSNY, DOT, DOHMH, FDNY). Assumptions are documented on Tabs 2–3.</t>
        </is>
      </c>
    </row>
  </sheetData>
  <mergeCells count="5">
    <mergeCell ref="A14:G14"/>
    <mergeCell ref="A1:G1"/>
    <mergeCell ref="A27:G27"/>
    <mergeCell ref="A22:G22"/>
    <mergeCell ref="A23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2026-10-19T15:38:52Z</dcterms:created>
  <dcterms:modified xmlns:dcterms="http://purl.org/dc/terms/" xmlns:xsi="http://www.w3.org/2001/XMLSchema-instance" xsi:type="dcterms:W3CDTF">2026-10-19T15:38:52Z</dcterms:modified>
</cp:coreProperties>
</file>