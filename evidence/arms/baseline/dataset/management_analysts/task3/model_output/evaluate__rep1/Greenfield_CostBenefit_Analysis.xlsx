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Metrics" sheetId="1" state="visible" r:id="rId1"/>
    <sheet xmlns:r="http://schemas.openxmlformats.org/officeDocument/2006/relationships" name="Proposal A Model" sheetId="2" state="visible" r:id="rId2"/>
    <sheet xmlns:r="http://schemas.openxmlformats.org/officeDocument/2006/relationships" name="Proposal B Model" sheetId="3" state="visible" r:id="rId3"/>
    <sheet xmlns:r="http://schemas.openxmlformats.org/officeDocument/2006/relationships" name="Comparison Summary" sheetId="4" state="visible" r:id="rId4"/>
    <sheet xmlns:r="http://schemas.openxmlformats.org/officeDocument/2006/relationships" name="Assumptions &amp;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%&quot;"/>
    <numFmt numFmtId="165" formatCode="$#,##0"/>
    <numFmt numFmtId="166" formatCode="0.00&quot;%&quot;"/>
    <numFmt numFmtId="167" formatCode="0.0"/>
    <numFmt numFmtId="168" formatCode="0.000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9" customWidth="1" min="5" max="5"/>
    <col width="16" customWidth="1" min="6" max="6"/>
    <col width="11" customWidth="1" min="7" max="7"/>
    <col width="9" customWidth="1" min="8" max="8"/>
    <col width="13" customWidth="1" min="9" max="9"/>
    <col width="11" customWidth="1" min="10" max="10"/>
    <col width="13" customWidth="1" min="11" max="11"/>
    <col width="11" customWidth="1" min="12" max="12"/>
    <col width="12" customWidth="1" min="13" max="13"/>
    <col width="26" customWidth="1" min="14" max="14"/>
    <col width="11" customWidth="1" min="15" max="15"/>
    <col width="12" customWidth="1" min="16" max="16"/>
    <col width="10" customWidth="1" min="17" max="17"/>
    <col width="18" customWidth="1" min="18" max="18"/>
    <col width="13" customWidth="1" min="19" max="19"/>
  </cols>
  <sheetData>
    <row r="1">
      <c r="A1" s="1" t="inlineStr">
        <is>
          <t>City of Greenfield - FY2024 Baseline Metrics (Department Scorecard)</t>
        </is>
      </c>
    </row>
    <row r="2">
      <c r="A2" s="2" t="inlineStr">
        <is>
          <t>Source: Greenfield_Dept_Staffing_Overtime_FY2024.xlsx [S1], Greenfield_311_Service_Requests_FY2024.csv [S2], NYC_Expense_Budget_Selected.csv [S3]. RED = trigger threshold (vacancy &gt;12%, OT &gt;10% of regular hours, on-time &lt;65%). FY2024 = Jul 2023-Jun 2024.</t>
        </is>
      </c>
    </row>
    <row r="4">
      <c r="A4" s="3" t="inlineStr">
        <is>
          <t>Department</t>
        </is>
      </c>
      <c r="B4" s="3" t="inlineStr">
        <is>
          <t>Authorized</t>
        </is>
      </c>
      <c r="C4" s="3" t="inlineStr">
        <is>
          <t>Filled</t>
        </is>
      </c>
      <c r="D4" s="3" t="inlineStr">
        <is>
          <t>Vacant</t>
        </is>
      </c>
      <c r="E4" s="3" t="inlineStr">
        <is>
          <t>Vacancy %</t>
        </is>
      </c>
      <c r="F4" s="3" t="inlineStr">
        <is>
          <t>FY24 Salary Cost (filled)</t>
        </is>
      </c>
      <c r="G4" s="3" t="inlineStr">
        <is>
          <t>Regular Hours</t>
        </is>
      </c>
      <c r="H4" s="3" t="inlineStr">
        <is>
          <t>OT Hours</t>
        </is>
      </c>
      <c r="I4" s="3" t="inlineStr">
        <is>
          <t>OT % of Regular</t>
        </is>
      </c>
      <c r="J4" s="3" t="inlineStr">
        <is>
          <t>OT Cost</t>
        </is>
      </c>
      <c r="K4" s="3" t="inlineStr">
        <is>
          <t>Total Comp Cost</t>
        </is>
      </c>
      <c r="L4" s="3" t="inlineStr">
        <is>
          <t>Cost per Filled Emp</t>
        </is>
      </c>
      <c r="M4" s="3" t="inlineStr">
        <is>
          <t>311 Avg Days to Close</t>
        </is>
      </c>
      <c r="N4" s="3" t="inlineStr">
        <is>
          <t>311 Satisfaction (1-5)</t>
        </is>
      </c>
      <c r="O4" s="3" t="inlineStr">
        <is>
          <t>Worst On-Time Process</t>
        </is>
      </c>
      <c r="P4" s="3" t="inlineStr">
        <is>
          <t>Worst On-Time %</t>
        </is>
      </c>
      <c r="Q4" s="3" t="inlineStr">
        <is>
          <t>Processes &lt;65% On-Time</t>
        </is>
      </c>
      <c r="R4" s="3" t="inlineStr">
        <is>
          <t>Months OT &gt;10%</t>
        </is>
      </c>
      <c r="S4" s="3" t="inlineStr">
        <is>
          <t>GF Cost/emp vs NYC PS/emp</t>
        </is>
      </c>
    </row>
    <row r="5">
      <c r="A5" s="4" t="inlineStr">
        <is>
          <t>Parks &amp; Recreation</t>
        </is>
      </c>
      <c r="B5" s="5" t="n">
        <v>116</v>
      </c>
      <c r="C5" s="5" t="n">
        <v>110</v>
      </c>
      <c r="D5" s="5" t="n">
        <v>6</v>
      </c>
      <c r="E5" s="6" t="n">
        <v>5.172413793103448</v>
      </c>
      <c r="F5" s="7" t="n">
        <v>4713500</v>
      </c>
      <c r="G5" s="8" t="n">
        <v>230751</v>
      </c>
      <c r="H5" s="8" t="n">
        <v>13968</v>
      </c>
      <c r="I5" s="9" t="n">
        <v>6.053278208978509</v>
      </c>
      <c r="J5" s="7" t="n">
        <v>453960</v>
      </c>
      <c r="K5" s="7">
        <f>F5+J5</f>
        <v/>
      </c>
      <c r="L5" s="7">
        <f>K5/C5</f>
        <v/>
      </c>
      <c r="M5" s="10" t="n">
        <v>12.5</v>
      </c>
      <c r="N5" s="11" t="n">
        <v>3.551724137931035</v>
      </c>
      <c r="O5" s="12" t="inlineStr">
        <is>
          <t>Tree Removal Request</t>
        </is>
      </c>
      <c r="P5" s="6" t="n">
        <v>62.4</v>
      </c>
      <c r="Q5" s="13" t="n">
        <v>1</v>
      </c>
      <c r="R5" s="13" t="n">
        <v>0</v>
      </c>
      <c r="S5" s="14" t="n">
        <v>0.1449020062522305</v>
      </c>
    </row>
    <row r="6">
      <c r="A6" s="4" t="inlineStr">
        <is>
          <t>Sanitation</t>
        </is>
      </c>
      <c r="B6" s="5" t="n">
        <v>108</v>
      </c>
      <c r="C6" s="5" t="n">
        <v>101</v>
      </c>
      <c r="D6" s="5" t="n">
        <v>7</v>
      </c>
      <c r="E6" s="6" t="n">
        <v>6.481481481481482</v>
      </c>
      <c r="F6" s="7" t="n">
        <v>4290100</v>
      </c>
      <c r="G6" s="8" t="n">
        <v>213242</v>
      </c>
      <c r="H6" s="8" t="n">
        <v>20867</v>
      </c>
      <c r="I6" s="9" t="n">
        <v>9.785595708162557</v>
      </c>
      <c r="J6" s="7" t="n">
        <v>646877</v>
      </c>
      <c r="K6" s="7">
        <f>F6+J6</f>
        <v/>
      </c>
      <c r="L6" s="7">
        <f>K6/C6</f>
        <v/>
      </c>
      <c r="M6" s="10" t="n">
        <v>9.046153846153846</v>
      </c>
      <c r="N6" s="11" t="n">
        <v>3.636363636363636</v>
      </c>
      <c r="O6" s="12" t="inlineStr">
        <is>
          <t>Illegal Dumping Investigation</t>
        </is>
      </c>
      <c r="P6" s="6" t="n">
        <v>54.2</v>
      </c>
      <c r="Q6" s="13" t="n">
        <v>2</v>
      </c>
      <c r="R6" s="13" t="n">
        <v>4</v>
      </c>
      <c r="S6" s="14" t="n">
        <v>0.1478057396736738</v>
      </c>
    </row>
    <row r="7">
      <c r="A7" s="4" t="inlineStr">
        <is>
          <t>Transportation</t>
        </is>
      </c>
      <c r="B7" s="5" t="n">
        <v>134</v>
      </c>
      <c r="C7" s="5" t="n">
        <v>114</v>
      </c>
      <c r="D7" s="5" t="n">
        <v>20</v>
      </c>
      <c r="E7" s="6" t="n">
        <v>14.92537313432836</v>
      </c>
      <c r="F7" s="7" t="n">
        <v>5545800</v>
      </c>
      <c r="G7" s="8" t="n">
        <v>221453</v>
      </c>
      <c r="H7" s="8" t="n">
        <v>18503</v>
      </c>
      <c r="I7" s="9" t="n">
        <v>8.35527177324308</v>
      </c>
      <c r="J7" s="7" t="n">
        <v>642979.25</v>
      </c>
      <c r="K7" s="7">
        <f>F7+J7</f>
        <v/>
      </c>
      <c r="L7" s="7">
        <f>K7/C7</f>
        <v/>
      </c>
      <c r="M7" s="10" t="n">
        <v>13.61607142857143</v>
      </c>
      <c r="N7" s="11" t="n">
        <v>3.361111111111111</v>
      </c>
      <c r="O7" s="12" t="inlineStr">
        <is>
          <t>Street Resurfacing Project</t>
        </is>
      </c>
      <c r="P7" s="6" t="n">
        <v>48.3</v>
      </c>
      <c r="Q7" s="13" t="n">
        <v>3</v>
      </c>
      <c r="R7" s="13" t="n">
        <v>2</v>
      </c>
      <c r="S7" s="14" t="n">
        <v>0.1564371831909057</v>
      </c>
    </row>
    <row r="8">
      <c r="A8" s="4" t="inlineStr">
        <is>
          <t>Health Services</t>
        </is>
      </c>
      <c r="B8" s="5" t="n">
        <v>96</v>
      </c>
      <c r="C8" s="5" t="n">
        <v>80</v>
      </c>
      <c r="D8" s="5" t="n">
        <v>16</v>
      </c>
      <c r="E8" s="6" t="n">
        <v>16.66666666666667</v>
      </c>
      <c r="F8" s="7" t="n">
        <v>4835100</v>
      </c>
      <c r="G8" s="8" t="n">
        <v>177471</v>
      </c>
      <c r="H8" s="8" t="n">
        <v>12660</v>
      </c>
      <c r="I8" s="9" t="n">
        <v>7.133559849214802</v>
      </c>
      <c r="J8" s="7" t="n">
        <v>525390</v>
      </c>
      <c r="K8" s="7">
        <f>F8+J8</f>
        <v/>
      </c>
      <c r="L8" s="7">
        <f>K8/C8</f>
        <v/>
      </c>
      <c r="M8" s="10" t="n">
        <v>12</v>
      </c>
      <c r="N8" s="11" t="n">
        <v>3.717391304347826</v>
      </c>
      <c r="O8" s="12" t="inlineStr">
        <is>
          <t>Environmental Complaint Investigation</t>
        </is>
      </c>
      <c r="P8" s="6" t="n">
        <v>64.09999999999999</v>
      </c>
      <c r="Q8" s="13" t="n">
        <v>1</v>
      </c>
      <c r="R8" s="13" t="n">
        <v>0</v>
      </c>
      <c r="S8" s="14" t="n">
        <v>0.2035358240889018</v>
      </c>
    </row>
    <row r="9">
      <c r="A9" s="4" t="inlineStr">
        <is>
          <t>Fire Department</t>
        </is>
      </c>
      <c r="B9" s="5" t="n">
        <v>142</v>
      </c>
      <c r="C9" s="5" t="n">
        <v>137</v>
      </c>
      <c r="D9" s="5" t="n">
        <v>5</v>
      </c>
      <c r="E9" s="6" t="n">
        <v>3.52112676056338</v>
      </c>
      <c r="F9" s="7" t="n">
        <v>9005400</v>
      </c>
      <c r="G9" s="8" t="n">
        <v>298260</v>
      </c>
      <c r="H9" s="8" t="n">
        <v>43444</v>
      </c>
      <c r="I9" s="9" t="n">
        <v>14.56581506068531</v>
      </c>
      <c r="J9" s="7" t="n">
        <v>2085312</v>
      </c>
      <c r="K9" s="7">
        <f>F9+J9</f>
        <v/>
      </c>
      <c r="L9" s="7">
        <f>K9/C9</f>
        <v/>
      </c>
      <c r="M9" s="10" t="n">
        <v>3.822222222222222</v>
      </c>
      <c r="N9" s="11" t="n">
        <v>4.233333333333333</v>
      </c>
      <c r="O9" s="12" t="inlineStr">
        <is>
          <t>Plan Review (New Construction)</t>
        </is>
      </c>
      <c r="P9" s="6" t="n">
        <v>59.6</v>
      </c>
      <c r="Q9" s="13" t="n">
        <v>1</v>
      </c>
      <c r="R9" s="13" t="n">
        <v>12</v>
      </c>
      <c r="S9" s="14" t="n">
        <v>0.2260914612907911</v>
      </c>
    </row>
    <row r="10">
      <c r="A10" s="15" t="inlineStr">
        <is>
          <t>CITYWIDE TOTAL</t>
        </is>
      </c>
      <c r="B10" s="16">
        <f>SUM(B5:B9)</f>
        <v/>
      </c>
      <c r="C10" s="16">
        <f>SUM(C5:C9)</f>
        <v/>
      </c>
      <c r="D10" s="16">
        <f>SUM(D5:D9)</f>
        <v/>
      </c>
      <c r="E10" s="17">
        <f>D10/B10</f>
        <v/>
      </c>
      <c r="F10" s="18">
        <f>SUM(F5:F9)</f>
        <v/>
      </c>
      <c r="G10" s="19">
        <f>SUM(G5:G9)</f>
        <v/>
      </c>
      <c r="H10" s="19">
        <f>SUM(H5:H9)</f>
        <v/>
      </c>
      <c r="I10" s="20">
        <f>H10/G10</f>
        <v/>
      </c>
      <c r="J10" s="18">
        <f>SUM(J5:J9)</f>
        <v/>
      </c>
      <c r="K10" s="18">
        <f>F10+J10</f>
        <v/>
      </c>
      <c r="L10" s="18">
        <f>K10/C10</f>
        <v/>
      </c>
      <c r="M10" s="21" t="n">
        <v>10.78947368421053</v>
      </c>
      <c r="N10" s="22" t="n">
        <v>3.625850340136054</v>
      </c>
      <c r="O10" s="15" t="inlineStr">
        <is>
          <t>Worst citywide:</t>
        </is>
      </c>
      <c r="P10" s="17" t="n">
        <v>48.3</v>
      </c>
      <c r="Q10" s="23">
        <f>SUM(Q5:Q9)</f>
        <v/>
      </c>
      <c r="R10" s="23">
        <f>SUM(R5:R9)</f>
        <v/>
      </c>
      <c r="S10" s="24" t="inlineStr"/>
    </row>
    <row r="12">
      <c r="A12" s="25" t="inlineStr">
        <is>
          <t>NYC benchmark context (per-employee personnel-cost comparison) [S3][S5]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</row>
    <row r="13">
      <c r="A13" s="3" t="inlineStr">
        <is>
          <t>Department</t>
        </is>
      </c>
      <c r="B13" s="3" t="inlineStr">
        <is>
          <t>Greenfield Cost/Filled Emp</t>
        </is>
      </c>
      <c r="C13" s="3" t="inlineStr">
        <is>
          <t>NYC FY25 Personnel Svc Cost/Employee</t>
        </is>
      </c>
      <c r="D13" s="3" t="inlineStr">
        <is>
          <t>GF as % of NYC</t>
        </is>
      </c>
      <c r="E13" s="3" t="inlineStr">
        <is>
          <t>NYC Vacancy % (Jan-2024, OSC)</t>
        </is>
      </c>
    </row>
    <row r="14">
      <c r="A14" s="4" t="inlineStr">
        <is>
          <t>Parks &amp; Recreation</t>
        </is>
      </c>
      <c r="B14" s="7" t="n">
        <v>46976.90909090909</v>
      </c>
      <c r="C14" s="7" t="n">
        <v>324197.782390511</v>
      </c>
      <c r="D14" s="14">
        <f>B14/C14</f>
        <v/>
      </c>
      <c r="E14" s="6" t="n">
        <v>1.7</v>
      </c>
    </row>
    <row r="15">
      <c r="A15" s="4" t="inlineStr">
        <is>
          <t>Sanitation</t>
        </is>
      </c>
      <c r="B15" s="7" t="n">
        <v>48880.96039603961</v>
      </c>
      <c r="C15" s="7" t="n">
        <v>330710.8404853507</v>
      </c>
      <c r="D15" s="14">
        <f>B15/C15</f>
        <v/>
      </c>
      <c r="E15" s="6" t="n">
        <v>0</v>
      </c>
    </row>
    <row r="16">
      <c r="A16" s="4" t="inlineStr">
        <is>
          <t>Transportation</t>
        </is>
      </c>
      <c r="B16" s="7" t="n">
        <v>54287.53728070176</v>
      </c>
      <c r="C16" s="7" t="n">
        <v>347024.512800469</v>
      </c>
      <c r="D16" s="14">
        <f>B16/C16</f>
        <v/>
      </c>
      <c r="E16" s="6" t="n">
        <v>10</v>
      </c>
    </row>
    <row r="17">
      <c r="A17" s="4" t="inlineStr">
        <is>
          <t>Health Services</t>
        </is>
      </c>
      <c r="B17" s="7" t="n">
        <v>67006.125</v>
      </c>
      <c r="C17" s="7" t="n">
        <v>329210.4733893558</v>
      </c>
      <c r="D17" s="14">
        <f>B17/C17</f>
        <v/>
      </c>
      <c r="E17" s="6" t="n">
        <v>9.300000000000001</v>
      </c>
    </row>
    <row r="18">
      <c r="A18" s="4" t="inlineStr">
        <is>
          <t>Fire Department</t>
        </is>
      </c>
      <c r="B18" s="7" t="n">
        <v>80954.10218978103</v>
      </c>
      <c r="C18" s="7" t="n">
        <v>358059.0869181947</v>
      </c>
      <c r="D18" s="14">
        <f>B18/C18</f>
        <v/>
      </c>
      <c r="E18" s="6" t="n">
        <v>1.4</v>
      </c>
    </row>
    <row r="19">
      <c r="A19" s="27" t="inlineStr">
        <is>
          <t>Note: NYC budgets cover far broader service scopes; the ratio is a compensation-benchmark indicator only, not a like-for-like service comparison.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9" t="n"/>
    </row>
    <row r="21">
      <c r="A21" s="25" t="inlineStr">
        <is>
          <t>Monthly OT % of regular hours by department (red = month above 10%) [S1]</t>
        </is>
      </c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</row>
    <row r="22">
      <c r="A22" s="3" t="inlineStr">
        <is>
          <t>Department</t>
        </is>
      </c>
      <c r="B22" s="3" t="inlineStr">
        <is>
          <t>Jul-2023</t>
        </is>
      </c>
      <c r="C22" s="3" t="inlineStr">
        <is>
          <t>Aug-2023</t>
        </is>
      </c>
      <c r="D22" s="3" t="inlineStr">
        <is>
          <t>Sep-2023</t>
        </is>
      </c>
      <c r="E22" s="3" t="inlineStr">
        <is>
          <t>Oct-2023</t>
        </is>
      </c>
      <c r="F22" s="3" t="inlineStr">
        <is>
          <t>Nov-2023</t>
        </is>
      </c>
      <c r="G22" s="3" t="inlineStr">
        <is>
          <t>Dec-2023</t>
        </is>
      </c>
      <c r="H22" s="3" t="inlineStr">
        <is>
          <t>Jan-2024</t>
        </is>
      </c>
      <c r="I22" s="3" t="inlineStr">
        <is>
          <t>Feb-2024</t>
        </is>
      </c>
      <c r="J22" s="3" t="inlineStr">
        <is>
          <t>Mar-2024</t>
        </is>
      </c>
      <c r="K22" s="3" t="inlineStr">
        <is>
          <t>Apr-2024</t>
        </is>
      </c>
      <c r="L22" s="3" t="inlineStr">
        <is>
          <t>May-2024</t>
        </is>
      </c>
      <c r="M22" s="3" t="inlineStr">
        <is>
          <t>Jun-2024</t>
        </is>
      </c>
      <c r="N22" s="3" t="inlineStr">
        <is>
          <t>Months &gt;10%</t>
        </is>
      </c>
    </row>
    <row r="23">
      <c r="A23" s="4" t="inlineStr">
        <is>
          <t>Parks &amp; Recreation</t>
        </is>
      </c>
      <c r="B23" s="10" t="n">
        <v>8</v>
      </c>
      <c r="C23" s="10" t="n">
        <v>9</v>
      </c>
      <c r="D23" s="10" t="n">
        <v>7.1</v>
      </c>
      <c r="E23" s="10" t="n">
        <v>5.6</v>
      </c>
      <c r="F23" s="10" t="n">
        <v>4.2</v>
      </c>
      <c r="G23" s="10" t="n">
        <v>4</v>
      </c>
      <c r="H23" s="10" t="n">
        <v>4</v>
      </c>
      <c r="I23" s="10" t="n">
        <v>4.5</v>
      </c>
      <c r="J23" s="10" t="n">
        <v>4.6</v>
      </c>
      <c r="K23" s="10" t="n">
        <v>6.1</v>
      </c>
      <c r="L23" s="10" t="n">
        <v>7.5</v>
      </c>
      <c r="M23" s="10" t="n">
        <v>8.1</v>
      </c>
      <c r="N23" s="30" t="n">
        <v>0</v>
      </c>
    </row>
    <row r="24">
      <c r="A24" s="4" t="inlineStr">
        <is>
          <t>Sanitation</t>
        </is>
      </c>
      <c r="B24" s="10" t="n">
        <v>7.3</v>
      </c>
      <c r="C24" s="10" t="n">
        <v>7.3</v>
      </c>
      <c r="D24" s="10" t="n">
        <v>7.7</v>
      </c>
      <c r="E24" s="10" t="n">
        <v>9.199999999999999</v>
      </c>
      <c r="F24" s="10" t="n">
        <v>10</v>
      </c>
      <c r="G24" s="10" t="n">
        <v>13.5</v>
      </c>
      <c r="H24" s="10" t="n">
        <v>14.4</v>
      </c>
      <c r="I24" s="10" t="n">
        <v>12.7</v>
      </c>
      <c r="J24" s="10" t="n">
        <v>11.5</v>
      </c>
      <c r="K24" s="10" t="n">
        <v>8.9</v>
      </c>
      <c r="L24" s="10" t="n">
        <v>8.1</v>
      </c>
      <c r="M24" s="10" t="n">
        <v>6.8</v>
      </c>
      <c r="N24" s="30" t="n">
        <v>4</v>
      </c>
    </row>
    <row r="25">
      <c r="A25" s="4" t="inlineStr">
        <is>
          <t>Transportation</t>
        </is>
      </c>
      <c r="B25" s="10" t="n">
        <v>7.4</v>
      </c>
      <c r="C25" s="10" t="n">
        <v>7.3</v>
      </c>
      <c r="D25" s="10" t="n">
        <v>7.4</v>
      </c>
      <c r="E25" s="10" t="n">
        <v>8.1</v>
      </c>
      <c r="F25" s="10" t="n">
        <v>8.4</v>
      </c>
      <c r="G25" s="10" t="n">
        <v>10.2</v>
      </c>
      <c r="H25" s="10" t="n">
        <v>10.9</v>
      </c>
      <c r="I25" s="10" t="n">
        <v>9.4</v>
      </c>
      <c r="J25" s="10" t="n">
        <v>8.4</v>
      </c>
      <c r="K25" s="10" t="n">
        <v>7.8</v>
      </c>
      <c r="L25" s="10" t="n">
        <v>7.8</v>
      </c>
      <c r="M25" s="10" t="n">
        <v>7.2</v>
      </c>
      <c r="N25" s="30" t="n">
        <v>2</v>
      </c>
    </row>
    <row r="26">
      <c r="A26" s="4" t="inlineStr">
        <is>
          <t>Health Services</t>
        </is>
      </c>
      <c r="B26" s="10" t="n">
        <v>6.2</v>
      </c>
      <c r="C26" s="10" t="n">
        <v>6.7</v>
      </c>
      <c r="D26" s="10" t="n">
        <v>6.5</v>
      </c>
      <c r="E26" s="10" t="n">
        <v>7.5</v>
      </c>
      <c r="F26" s="10" t="n">
        <v>7.4</v>
      </c>
      <c r="G26" s="10" t="n">
        <v>8.300000000000001</v>
      </c>
      <c r="H26" s="10" t="n">
        <v>7.8</v>
      </c>
      <c r="I26" s="10" t="n">
        <v>7.6</v>
      </c>
      <c r="J26" s="10" t="n">
        <v>7.4</v>
      </c>
      <c r="K26" s="10" t="n">
        <v>7</v>
      </c>
      <c r="L26" s="10" t="n">
        <v>6.6</v>
      </c>
      <c r="M26" s="10" t="n">
        <v>6.4</v>
      </c>
      <c r="N26" s="30" t="n">
        <v>0</v>
      </c>
    </row>
    <row r="27">
      <c r="A27" s="4" t="inlineStr">
        <is>
          <t>Fire Department</t>
        </is>
      </c>
      <c r="B27" s="10" t="n">
        <v>14.2</v>
      </c>
      <c r="C27" s="10" t="n">
        <v>13.5</v>
      </c>
      <c r="D27" s="10" t="n">
        <v>14.2</v>
      </c>
      <c r="E27" s="10" t="n">
        <v>14.9</v>
      </c>
      <c r="F27" s="10" t="n">
        <v>15.1</v>
      </c>
      <c r="G27" s="10" t="n">
        <v>15.8</v>
      </c>
      <c r="H27" s="10" t="n">
        <v>14.8</v>
      </c>
      <c r="I27" s="10" t="n">
        <v>14.1</v>
      </c>
      <c r="J27" s="10" t="n">
        <v>13</v>
      </c>
      <c r="K27" s="10" t="n">
        <v>14.8</v>
      </c>
      <c r="L27" s="10" t="n">
        <v>15.8</v>
      </c>
      <c r="M27" s="10" t="n">
        <v>14.5</v>
      </c>
      <c r="N27" s="30" t="n">
        <v>12</v>
      </c>
    </row>
  </sheetData>
  <mergeCells count="5">
    <mergeCell ref="A19:S19"/>
    <mergeCell ref="A1:S1"/>
    <mergeCell ref="A21:S21"/>
    <mergeCell ref="A12:S12"/>
    <mergeCell ref="A2:S2"/>
  </mergeCells>
  <conditionalFormatting sqref="B23:M27">
    <cfRule type="cellIs" priority="1" operator="greaterThan" dxfId="0">
      <formula>10</formula>
    </cfRule>
  </conditionalFormatting>
  <conditionalFormatting sqref="E5:E10">
    <cfRule type="cellIs" priority="2" operator="greaterThan" dxfId="0">
      <formula>12</formula>
    </cfRule>
  </conditionalFormatting>
  <conditionalFormatting sqref="I5:I10">
    <cfRule type="cellIs" priority="3" operator="greaterThan" dxfId="0">
      <formula>10</formula>
    </cfRule>
  </conditionalFormatting>
  <conditionalFormatting sqref="P5:P10">
    <cfRule type="cellIs" priority="4" operator="lessThan" dxfId="0">
      <formula>65</formula>
    </cfRule>
  </conditionalFormatting>
  <conditionalFormatting sqref="R5:R10">
    <cfRule type="cellIs" priority="5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44" customWidth="1" min="3" max="3"/>
    <col width="12" customWidth="1" min="4" max="4"/>
    <col width="16" customWidth="1" min="5" max="5"/>
    <col width="40" customWidth="1" min="6" max="6"/>
  </cols>
  <sheetData>
    <row r="1">
      <c r="A1" s="1" t="inlineStr">
        <is>
          <t>Proposal A - "Consolidate": merge Health Services + Parks &amp; Recreation (Community Wellness); Transportation + Sanitation (Public Works); Fire standalone</t>
        </is>
      </c>
    </row>
    <row r="2">
      <c r="A2" s="2" t="inlineStr">
        <is>
          <t>Savings from span-of-control reduction, shared fleet services and joint deployment. Positions exit via 24-month attrition freeze (no layoffs).</t>
        </is>
      </c>
    </row>
    <row r="4">
      <c r="A4" s="25" t="inlineStr">
        <is>
          <t>Merged unit composition [S1]</t>
        </is>
      </c>
      <c r="B4" s="26" t="n"/>
      <c r="C4" s="26" t="n"/>
      <c r="D4" s="26" t="n"/>
      <c r="E4" s="26" t="n"/>
      <c r="F4" s="26" t="n"/>
    </row>
    <row r="5">
      <c r="A5" s="3" t="inlineStr">
        <is>
          <t>Merged Unit</t>
        </is>
      </c>
      <c r="B5" s="3" t="inlineStr">
        <is>
          <t>Component Department</t>
        </is>
      </c>
      <c r="C5" s="3" t="inlineStr">
        <is>
          <t>Authorized</t>
        </is>
      </c>
      <c r="D5" s="3" t="inlineStr">
        <is>
          <t>Filled</t>
        </is>
      </c>
      <c r="E5" s="3" t="inlineStr">
        <is>
          <t>FY24 Salary Cost (filled)</t>
        </is>
      </c>
      <c r="F5" s="3" t="inlineStr">
        <is>
          <t>Weighted Avg Salary</t>
        </is>
      </c>
    </row>
    <row r="6">
      <c r="A6" s="4" t="inlineStr">
        <is>
          <t>Community Wellness</t>
        </is>
      </c>
      <c r="B6" s="12" t="inlineStr">
        <is>
          <t>Parks &amp; Recreation</t>
        </is>
      </c>
      <c r="C6" s="5" t="n">
        <v>116</v>
      </c>
      <c r="D6" s="5" t="n">
        <v>110</v>
      </c>
      <c r="E6" s="7" t="n">
        <v>4713500</v>
      </c>
      <c r="F6" s="7" t="n">
        <v>42850</v>
      </c>
    </row>
    <row r="7">
      <c r="A7" s="4" t="inlineStr">
        <is>
          <t>Community Wellness</t>
        </is>
      </c>
      <c r="B7" s="12" t="inlineStr">
        <is>
          <t>Health Services</t>
        </is>
      </c>
      <c r="C7" s="5" t="n">
        <v>96</v>
      </c>
      <c r="D7" s="5" t="n">
        <v>80</v>
      </c>
      <c r="E7" s="7" t="n">
        <v>4835100</v>
      </c>
      <c r="F7" s="7" t="n">
        <v>60438.75</v>
      </c>
    </row>
    <row r="8">
      <c r="A8" s="4" t="inlineStr">
        <is>
          <t>Public Works</t>
        </is>
      </c>
      <c r="B8" s="12" t="inlineStr">
        <is>
          <t>Transportation</t>
        </is>
      </c>
      <c r="C8" s="5" t="n">
        <v>134</v>
      </c>
      <c r="D8" s="5" t="n">
        <v>114</v>
      </c>
      <c r="E8" s="7" t="n">
        <v>5545800</v>
      </c>
      <c r="F8" s="7" t="n">
        <v>48647.36842105263</v>
      </c>
    </row>
    <row r="9">
      <c r="A9" s="4" t="inlineStr">
        <is>
          <t>Public Works</t>
        </is>
      </c>
      <c r="B9" s="12" t="inlineStr">
        <is>
          <t>Sanitation</t>
        </is>
      </c>
      <c r="C9" s="5" t="n">
        <v>108</v>
      </c>
      <c r="D9" s="5" t="n">
        <v>101</v>
      </c>
      <c r="E9" s="7" t="n">
        <v>4290100</v>
      </c>
      <c r="F9" s="7" t="n">
        <v>42476.23762376238</v>
      </c>
    </row>
    <row r="10">
      <c r="A10" s="4" t="inlineStr">
        <is>
          <t>Fire Department (standalone)</t>
        </is>
      </c>
      <c r="B10" s="12" t="inlineStr">
        <is>
          <t>Fire Department</t>
        </is>
      </c>
      <c r="C10" s="5" t="n">
        <v>142</v>
      </c>
      <c r="D10" s="5" t="n">
        <v>137</v>
      </c>
      <c r="E10" s="7" t="n">
        <v>9005400</v>
      </c>
      <c r="F10" s="7" t="n">
        <v>65732.84671532847</v>
      </c>
    </row>
    <row r="11">
      <c r="A11" s="15" t="inlineStr">
        <is>
          <t>Community Wellness total</t>
        </is>
      </c>
      <c r="B11" s="24" t="inlineStr"/>
      <c r="C11" s="16">
        <f>C6+C7</f>
        <v/>
      </c>
      <c r="D11" s="16">
        <f>D6+D7</f>
        <v/>
      </c>
      <c r="E11" s="18">
        <f>E6+E7</f>
        <v/>
      </c>
      <c r="F11" s="18">
        <f>E11/D11</f>
        <v/>
      </c>
    </row>
    <row r="12">
      <c r="A12" s="15" t="inlineStr">
        <is>
          <t>Public Works total</t>
        </is>
      </c>
      <c r="B12" s="24" t="inlineStr"/>
      <c r="C12" s="16">
        <f>C8+C9</f>
        <v/>
      </c>
      <c r="D12" s="16">
        <f>D8+D9</f>
        <v/>
      </c>
      <c r="E12" s="18">
        <f>E8+E9</f>
        <v/>
      </c>
      <c r="F12" s="18">
        <f>E12/D12</f>
        <v/>
      </c>
    </row>
    <row r="14">
      <c r="A14" s="25" t="inlineStr">
        <is>
          <t>Recurring savings line items</t>
        </is>
      </c>
      <c r="B14" s="26" t="n"/>
      <c r="C14" s="26" t="n"/>
      <c r="D14" s="26" t="n"/>
      <c r="E14" s="26" t="n"/>
      <c r="F14" s="26" t="n"/>
    </row>
    <row r="15">
      <c r="A15" s="3" t="inlineStr">
        <is>
          <t>Ref</t>
        </is>
      </c>
      <c r="B15" s="3" t="inlineStr">
        <is>
          <t>Item</t>
        </is>
      </c>
      <c r="C15" s="3" t="inlineStr">
        <is>
          <t>Basis</t>
        </is>
      </c>
      <c r="D15" s="3" t="inlineStr">
        <is>
          <t>Positions</t>
        </is>
      </c>
      <c r="E15" s="3" t="inlineStr">
        <is>
          <t>Annual Savings</t>
        </is>
      </c>
      <c r="F15" s="3" t="inlineStr">
        <is>
          <t>Note</t>
        </is>
      </c>
    </row>
    <row r="16">
      <c r="A16" s="30" t="inlineStr">
        <is>
          <t>A1</t>
        </is>
      </c>
      <c r="B16" s="12" t="inlineStr">
        <is>
          <t>Administrative span-of-control consolidation (both merged units)</t>
        </is>
      </c>
      <c r="C16" s="12" t="inlineStr">
        <is>
          <t>4% of merged authorized positions exit via attrition over 24 months</t>
        </is>
      </c>
      <c r="D16" s="13" t="inlineStr">
        <is>
          <t>8 + 10 = 18</t>
        </is>
      </c>
      <c r="E16" s="7" t="n">
        <v>859530.0367197064</v>
      </c>
      <c r="F16" s="27" t="inlineStr">
        <is>
          <t>Applies dept weighted-avg salary to eliminated authorized slots</t>
        </is>
      </c>
    </row>
    <row r="17">
      <c r="A17" s="30" t="inlineStr">
        <is>
          <t>A2a</t>
        </is>
      </c>
      <c r="B17" s="12" t="inlineStr">
        <is>
          <t>Shared fleet maintenance shop (Public Works)</t>
        </is>
      </c>
      <c r="C17" s="12" t="inlineStr">
        <is>
          <t>20% of Sanitation Fleet Maintenance filled positions (17) absorbed into joint shop</t>
        </is>
      </c>
      <c r="D17" s="13" t="inlineStr">
        <is>
          <t>3</t>
        </is>
      </c>
      <c r="E17" s="7" t="n">
        <v>156900</v>
      </c>
      <c r="F17" s="27" t="inlineStr">
        <is>
          <t>Fleet Maintenance avg salary $52,300</t>
        </is>
      </c>
    </row>
    <row r="18">
      <c r="A18" s="30" t="inlineStr">
        <is>
          <t>A2b</t>
        </is>
      </c>
      <c r="B18" s="12" t="inlineStr">
        <is>
          <t>Fleet OT reduction (Public Works)</t>
        </is>
      </c>
      <c r="C18" s="12" t="inlineStr">
        <is>
          <t>8% of combined Transportation + Sanitation OT cost from consolidated scheduling/dispatch</t>
        </is>
      </c>
      <c r="D18" s="13" t="inlineStr">
        <is>
          <t>-</t>
        </is>
      </c>
      <c r="E18" s="7" t="n">
        <v>103188.5</v>
      </c>
      <c r="F18" s="27" t="inlineStr">
        <is>
          <t>PW OT cost = $642,979 + $646,877 = $1,289,856</t>
        </is>
      </c>
    </row>
    <row r="19">
      <c r="A19" s="30" t="inlineStr">
        <is>
          <t>A3</t>
        </is>
      </c>
      <c r="B19" s="12" t="inlineStr">
        <is>
          <t>Shared field-crew deployment (Public Works)</t>
        </is>
      </c>
      <c r="C19" s="12" t="inlineStr">
        <is>
          <t>5% of combined OT cost from cross-borough route/crew sharing</t>
        </is>
      </c>
      <c r="D19" s="13" t="inlineStr">
        <is>
          <t>-</t>
        </is>
      </c>
      <c r="E19" s="7" t="n">
        <v>64492.8125</v>
      </c>
      <c r="F19" s="27" t="inlineStr">
        <is>
          <t>Same PW OT base</t>
        </is>
      </c>
    </row>
    <row r="20">
      <c r="A20" s="30" t="inlineStr">
        <is>
          <t>A4</t>
        </is>
      </c>
      <c r="B20" s="12" t="inlineStr">
        <is>
          <t>Community Wellness seasonal flex staffing</t>
        </is>
      </c>
      <c r="C20" s="12" t="inlineStr">
        <is>
          <t>2% of merged authorized positions retimed across peak seasons (Parks summer / Health flu)</t>
        </is>
      </c>
      <c r="D20" s="13" t="inlineStr">
        <is>
          <t>4</t>
        </is>
      </c>
      <c r="E20" s="7" t="n">
        <v>201023.1578947369</v>
      </c>
      <c r="F20" s="27" t="inlineStr">
        <is>
          <t>Avoids seasonal overlap hiring</t>
        </is>
      </c>
    </row>
    <row r="21">
      <c r="B21" s="15" t="inlineStr">
        <is>
          <t>Total recurring savings</t>
        </is>
      </c>
      <c r="E21" s="18">
        <f>SUM(E16:E20)</f>
        <v/>
      </c>
    </row>
    <row r="23">
      <c r="A23" s="25" t="inlineStr">
        <is>
          <t>Implementation costs and net fiscal impact</t>
        </is>
      </c>
      <c r="B23" s="26" t="n"/>
      <c r="C23" s="26" t="n"/>
      <c r="D23" s="26" t="n"/>
      <c r="E23" s="26" t="n"/>
      <c r="F23" s="26" t="n"/>
    </row>
    <row r="24">
      <c r="A24" s="3" t="inlineStr">
        <is>
          <t>Ref</t>
        </is>
      </c>
      <c r="B24" s="3" t="inlineStr">
        <is>
          <t>Item</t>
        </is>
      </c>
      <c r="C24" s="3" t="inlineStr">
        <is>
          <t>Basis</t>
        </is>
      </c>
      <c r="D24" s="3" t="inlineStr">
        <is>
          <t>Amount</t>
        </is>
      </c>
      <c r="E24" s="3" t="inlineStr">
        <is>
          <t>Year 1</t>
        </is>
      </c>
      <c r="F24" s="3" t="inlineStr">
        <is>
          <t>Year 2</t>
        </is>
      </c>
    </row>
    <row r="25">
      <c r="A25" s="30" t="inlineStr">
        <is>
          <t>T1</t>
        </is>
      </c>
      <c r="B25" s="12" t="inlineStr">
        <is>
          <t>One-time transition cost (IT migration, SOP re-issue, HR/legal, facility re-stacking)</t>
        </is>
      </c>
      <c r="C25" s="12" t="inlineStr">
        <is>
          <t>Total $1,200,000: 75% Year 1, 25% Year 2</t>
        </is>
      </c>
      <c r="D25" s="7" t="n">
        <v>1200000</v>
      </c>
      <c r="E25" s="7" t="n">
        <v>-900000</v>
      </c>
      <c r="F25" s="7" t="n">
        <v>-300000</v>
      </c>
    </row>
    <row r="26">
      <c r="A26" s="30" t="inlineStr">
        <is>
          <t>P1</t>
        </is>
      </c>
      <c r="B26" s="12" t="inlineStr">
        <is>
          <t>Savings phase-in (positions exit via attrition)</t>
        </is>
      </c>
      <c r="C26" s="12" t="inlineStr">
        <is>
          <t>50% of recurring savings realized in Year 1, 100% Year 2</t>
        </is>
      </c>
      <c r="E26" s="7" t="n">
        <v>692567.2535572216</v>
      </c>
      <c r="F26" s="7" t="n">
        <v>1385134.507114443</v>
      </c>
    </row>
    <row r="27">
      <c r="A27" s="23" t="inlineStr">
        <is>
          <t>NET</t>
        </is>
      </c>
      <c r="B27" s="15" t="inlineStr">
        <is>
          <t>Net fiscal impact</t>
        </is>
      </c>
      <c r="C27" s="24" t="inlineStr"/>
      <c r="D27" s="24" t="inlineStr"/>
      <c r="E27" s="18">
        <f>E25+E26</f>
        <v/>
      </c>
      <c r="F27" s="18">
        <f>F25+F26</f>
        <v/>
      </c>
    </row>
    <row r="29">
      <c r="A29" s="25" t="inlineStr">
        <is>
          <t>Projected authorized headcount (end of 24-month attrition window)</t>
        </is>
      </c>
      <c r="B29" s="26" t="n"/>
      <c r="C29" s="26" t="n"/>
      <c r="D29" s="26" t="n"/>
      <c r="E29" s="26" t="n"/>
      <c r="F29" s="26" t="n"/>
    </row>
    <row r="30">
      <c r="A30" s="3" t="inlineStr">
        <is>
          <t>Unit</t>
        </is>
      </c>
      <c r="B30" s="3" t="inlineStr">
        <is>
          <t>Current Authorized</t>
        </is>
      </c>
      <c r="C30" s="3" t="inlineStr">
        <is>
          <t>Removed (A1/A4/fleet)</t>
        </is>
      </c>
      <c r="D30" s="3" t="inlineStr">
        <is>
          <t>Projected Authorized</t>
        </is>
      </c>
      <c r="E30" s="3" t="inlineStr">
        <is>
          <t>Filled (baseline)</t>
        </is>
      </c>
      <c r="F30" s="3" t="inlineStr">
        <is>
          <t>Note</t>
        </is>
      </c>
    </row>
    <row r="31">
      <c r="A31" s="4" t="inlineStr">
        <is>
          <t>Community Wellness</t>
        </is>
      </c>
      <c r="B31" s="5" t="n">
        <v>212</v>
      </c>
      <c r="C31" s="5" t="n">
        <v>12</v>
      </c>
      <c r="D31" s="5">
        <f>B31-C31</f>
        <v/>
      </c>
      <c r="E31" s="5" t="n">
        <v>190</v>
      </c>
      <c r="F31" s="27" t="inlineStr">
        <is>
          <t>4% admin + 2% seasonal flex</t>
        </is>
      </c>
    </row>
    <row r="32">
      <c r="A32" s="4" t="inlineStr">
        <is>
          <t>Public Works</t>
        </is>
      </c>
      <c r="B32" s="5" t="n">
        <v>242</v>
      </c>
      <c r="C32" s="5" t="n">
        <v>10</v>
      </c>
      <c r="D32" s="5">
        <f>B32-C32</f>
        <v/>
      </c>
      <c r="E32" s="5" t="n">
        <v>215</v>
      </c>
      <c r="F32" s="27" t="inlineStr">
        <is>
          <t>4% admin (fleet absorbed within existing authorized)</t>
        </is>
      </c>
    </row>
    <row r="33">
      <c r="A33" s="4" t="inlineStr">
        <is>
          <t>Fire Department</t>
        </is>
      </c>
      <c r="B33" s="5" t="n">
        <v>142</v>
      </c>
      <c r="C33" s="5" t="n">
        <v>0</v>
      </c>
      <c r="D33" s="5">
        <f>B33-C33</f>
        <v/>
      </c>
      <c r="E33" s="5" t="n">
        <v>137</v>
      </c>
      <c r="F33" s="27" t="inlineStr">
        <is>
          <t>Standalone - no change</t>
        </is>
      </c>
    </row>
    <row r="34">
      <c r="A34" s="15" t="inlineStr">
        <is>
          <t>TOTAL</t>
        </is>
      </c>
      <c r="B34" s="16">
        <f>SUM(B31:B33)</f>
        <v/>
      </c>
      <c r="C34" s="16">
        <f>SUM(C31:C33)</f>
        <v/>
      </c>
      <c r="D34" s="16">
        <f>SUM(D31:D33)</f>
        <v/>
      </c>
      <c r="E34" s="16">
        <f>SUM(E31:E33)</f>
        <v/>
      </c>
    </row>
    <row r="36">
      <c r="A36" s="27" t="inlineStr">
        <is>
          <t>Assessed risk (see memo Sec. 4): 2-5 pt temporary on-time dip during 12-month transition (clinical/field SOPs re-issued). Projected SLA improvement: +1.0 pt (indirect only).</t>
        </is>
      </c>
      <c r="B36" s="28" t="n"/>
      <c r="C36" s="28" t="n"/>
      <c r="D36" s="28" t="n"/>
      <c r="E36" s="28" t="n"/>
      <c r="F36" s="29" t="n"/>
    </row>
  </sheetData>
  <mergeCells count="7">
    <mergeCell ref="A2:F2"/>
    <mergeCell ref="A36:F36"/>
    <mergeCell ref="A14:F14"/>
    <mergeCell ref="A1:F1"/>
    <mergeCell ref="A23:F23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52" customWidth="1" min="3" max="3"/>
    <col width="11" customWidth="1" min="4" max="4"/>
    <col width="16" customWidth="1" min="5" max="5"/>
    <col width="14" customWidth="1" min="6" max="6"/>
  </cols>
  <sheetData>
    <row r="1">
      <c r="A1" s="1" t="inlineStr">
        <is>
          <t>Proposal B - "Targeted Fix": keep five departments; cross-training pools, shared OT budgets, centralized hiring</t>
        </is>
      </c>
    </row>
    <row r="2">
      <c r="A2" s="2" t="inlineStr">
        <is>
          <t>Interventions trigger only where metrics breach thresholds: annual OT &gt;10% of regular hours; division vacancy &gt;12%.</t>
        </is>
      </c>
    </row>
    <row r="4">
      <c r="A4" s="25" t="inlineStr">
        <is>
          <t>Trigger screen [S1]</t>
        </is>
      </c>
      <c r="B4" s="26" t="n"/>
      <c r="C4" s="26" t="n"/>
      <c r="D4" s="26" t="n"/>
      <c r="E4" s="26" t="n"/>
      <c r="F4" s="26" t="n"/>
    </row>
    <row r="5">
      <c r="A5" s="3" t="inlineStr">
        <is>
          <t>Trigger</t>
        </is>
      </c>
      <c r="B5" s="3" t="inlineStr">
        <is>
          <t>Result</t>
        </is>
      </c>
      <c r="C5" s="3" t="inlineStr">
        <is>
          <t>Detail 1</t>
        </is>
      </c>
      <c r="D5" s="3" t="inlineStr">
        <is>
          <t>Detail 2</t>
        </is>
      </c>
      <c r="E5" s="3" t="inlineStr">
        <is>
          <t>Detail 3</t>
        </is>
      </c>
      <c r="F5" s="3" t="inlineStr">
        <is>
          <t>Detail 4</t>
        </is>
      </c>
    </row>
    <row r="6">
      <c r="A6" s="4" t="inlineStr">
        <is>
          <t>Annual OT &gt;10%</t>
        </is>
      </c>
      <c r="B6" s="12" t="inlineStr">
        <is>
          <t>Fire Department (14.6%); all other depts 6.1-9.8%</t>
        </is>
      </c>
      <c r="C6" s="12" t="inlineStr">
        <is>
          <t>Fire OT 43,444 h vs 298,260 regular h</t>
        </is>
      </c>
      <c r="D6" s="12" t="inlineStr">
        <is>
          <t>OT rate $48.00/h</t>
        </is>
      </c>
      <c r="E6" s="12" t="inlineStr">
        <is>
          <t>12 of 12 months above 10%</t>
        </is>
      </c>
      <c r="F6" s="12" t="inlineStr">
        <is>
          <t>Shared OT budget + overtime cap applies</t>
        </is>
      </c>
    </row>
    <row r="7">
      <c r="A7" s="4" t="inlineStr">
        <is>
          <t>Division vacancy &gt;12%</t>
        </is>
      </c>
      <c r="B7" s="12" t="inlineStr">
        <is>
          <t>8 divisions, 36 vacancies (all in Transportation &amp; Health Services)</t>
        </is>
      </c>
      <c r="C7" s="12" t="inlineStr">
        <is>
          <t>Transportation: 4 of 4 divisions (20 vacancies)</t>
        </is>
      </c>
      <c r="D7" s="12" t="inlineStr">
        <is>
          <t>Health Services: 4 of 4 divisions (16 vacancies)</t>
        </is>
      </c>
      <c r="E7" s="12" t="inlineStr">
        <is>
          <t>Other depts: 0 divisions above 12%</t>
        </is>
      </c>
      <c r="F7" s="12" t="inlineStr">
        <is>
          <t>Centralized hiring team + funded backfill applies</t>
        </is>
      </c>
    </row>
    <row r="9">
      <c r="A9" s="25" t="inlineStr">
        <is>
          <t>Vacancy &gt;12% divisions (centralized hiring scope) - RED = above 12% trigger [S1]</t>
        </is>
      </c>
      <c r="B9" s="26" t="n"/>
      <c r="C9" s="26" t="n"/>
      <c r="D9" s="26" t="n"/>
      <c r="E9" s="26" t="n"/>
      <c r="F9" s="26" t="n"/>
    </row>
    <row r="10">
      <c r="A10" s="3" t="inlineStr">
        <is>
          <t>Department</t>
        </is>
      </c>
      <c r="B10" s="3" t="inlineStr">
        <is>
          <t>Division</t>
        </is>
      </c>
      <c r="C10" s="3" t="inlineStr">
        <is>
          <t>Vacancy Rate %</t>
        </is>
      </c>
      <c r="D10" s="3" t="inlineStr">
        <is>
          <t>Vacant Positions</t>
        </is>
      </c>
      <c r="E10" s="3" t="inlineStr">
        <is>
          <t>Authorized</t>
        </is>
      </c>
      <c r="F10" s="3" t="inlineStr">
        <is>
          <t>Filled</t>
        </is>
      </c>
    </row>
    <row r="11">
      <c r="A11" s="12" t="inlineStr">
        <is>
          <t>Transportation</t>
        </is>
      </c>
      <c r="B11" s="12" t="inlineStr">
        <is>
          <t>Road Maintenance</t>
        </is>
      </c>
      <c r="C11" s="10" t="n">
        <v>14.8</v>
      </c>
      <c r="D11" s="5" t="n">
        <v>8</v>
      </c>
      <c r="E11" s="5" t="n">
        <v>54</v>
      </c>
      <c r="F11" s="5" t="n">
        <v>46</v>
      </c>
    </row>
    <row r="12">
      <c r="A12" s="12" t="inlineStr">
        <is>
          <t>Transportation</t>
        </is>
      </c>
      <c r="B12" s="12" t="inlineStr">
        <is>
          <t>Traffic Engineering</t>
        </is>
      </c>
      <c r="C12" s="10" t="n">
        <v>15.4</v>
      </c>
      <c r="D12" s="5" t="n">
        <v>4</v>
      </c>
      <c r="E12" s="5" t="n">
        <v>26</v>
      </c>
      <c r="F12" s="5" t="n">
        <v>22</v>
      </c>
    </row>
    <row r="13">
      <c r="A13" s="12" t="inlineStr">
        <is>
          <t>Transportation</t>
        </is>
      </c>
      <c r="B13" s="12" t="inlineStr">
        <is>
          <t>Public Transit</t>
        </is>
      </c>
      <c r="C13" s="10" t="n">
        <v>15.8</v>
      </c>
      <c r="D13" s="5" t="n">
        <v>6</v>
      </c>
      <c r="E13" s="5" t="n">
        <v>38</v>
      </c>
      <c r="F13" s="5" t="n">
        <v>32</v>
      </c>
    </row>
    <row r="14">
      <c r="A14" s="12" t="inlineStr">
        <is>
          <t>Transportation</t>
        </is>
      </c>
      <c r="B14" s="12" t="inlineStr">
        <is>
          <t>Planning &amp; Design</t>
        </is>
      </c>
      <c r="C14" s="10" t="n">
        <v>12.5</v>
      </c>
      <c r="D14" s="5" t="n">
        <v>2</v>
      </c>
      <c r="E14" s="5" t="n">
        <v>16</v>
      </c>
      <c r="F14" s="5" t="n">
        <v>14</v>
      </c>
    </row>
    <row r="15">
      <c r="A15" s="12" t="inlineStr">
        <is>
          <t>Health Services</t>
        </is>
      </c>
      <c r="B15" s="12" t="inlineStr">
        <is>
          <t>Clinical Services</t>
        </is>
      </c>
      <c r="C15" s="10" t="n">
        <v>18.2</v>
      </c>
      <c r="D15" s="5" t="n">
        <v>8</v>
      </c>
      <c r="E15" s="5" t="n">
        <v>44</v>
      </c>
      <c r="F15" s="5" t="n">
        <v>36</v>
      </c>
    </row>
    <row r="16">
      <c r="A16" s="12" t="inlineStr">
        <is>
          <t>Health Services</t>
        </is>
      </c>
      <c r="B16" s="12" t="inlineStr">
        <is>
          <t>Environmental Health</t>
        </is>
      </c>
      <c r="C16" s="10" t="n">
        <v>13.6</v>
      </c>
      <c r="D16" s="5" t="n">
        <v>3</v>
      </c>
      <c r="E16" s="5" t="n">
        <v>22</v>
      </c>
      <c r="F16" s="5" t="n">
        <v>19</v>
      </c>
    </row>
    <row r="17">
      <c r="A17" s="12" t="inlineStr">
        <is>
          <t>Health Services</t>
        </is>
      </c>
      <c r="B17" s="12" t="inlineStr">
        <is>
          <t>Community Outreach</t>
        </is>
      </c>
      <c r="C17" s="10" t="n">
        <v>16.7</v>
      </c>
      <c r="D17" s="5" t="n">
        <v>3</v>
      </c>
      <c r="E17" s="5" t="n">
        <v>18</v>
      </c>
      <c r="F17" s="5" t="n">
        <v>15</v>
      </c>
    </row>
    <row r="18">
      <c r="A18" s="12" t="inlineStr">
        <is>
          <t>Health Services</t>
        </is>
      </c>
      <c r="B18" s="12" t="inlineStr">
        <is>
          <t>Epidemiology &amp; Data</t>
        </is>
      </c>
      <c r="C18" s="10" t="n">
        <v>16.7</v>
      </c>
      <c r="D18" s="5" t="n">
        <v>2</v>
      </c>
      <c r="E18" s="5" t="n">
        <v>12</v>
      </c>
      <c r="F18" s="5" t="n">
        <v>10</v>
      </c>
    </row>
    <row r="20">
      <c r="A20" s="25" t="inlineStr">
        <is>
          <t>Intervention design and cost/savings line items</t>
        </is>
      </c>
      <c r="B20" s="26" t="n"/>
      <c r="C20" s="26" t="n"/>
      <c r="D20" s="26" t="n"/>
      <c r="E20" s="26" t="n"/>
      <c r="F20" s="26" t="n"/>
    </row>
    <row r="21">
      <c r="A21" s="3" t="inlineStr">
        <is>
          <t>Ref</t>
        </is>
      </c>
      <c r="B21" s="3" t="inlineStr">
        <is>
          <t>Item</t>
        </is>
      </c>
      <c r="C21" s="3" t="inlineStr">
        <is>
          <t>Basis</t>
        </is>
      </c>
      <c r="D21" s="3" t="inlineStr">
        <is>
          <t>Positions</t>
        </is>
      </c>
      <c r="E21" s="3" t="inlineStr">
        <is>
          <t>Annual Amount</t>
        </is>
      </c>
      <c r="F21" s="3" t="inlineStr">
        <is>
          <t>One-time</t>
        </is>
      </c>
    </row>
    <row r="22">
      <c r="A22" s="30" t="inlineStr">
        <is>
          <t>B1</t>
        </is>
      </c>
      <c r="B22" s="12" t="inlineStr">
        <is>
          <t>Cross-training pool (field crews)</t>
        </is>
      </c>
      <c r="C22" s="12" t="inlineStr">
        <is>
          <t>10% of filled field-crew positions: Sanitation Refuse 58 + Recycling 26, Transportation Road Maint 46, Parks Park Maint 46 + Urban Forestry 13</t>
        </is>
      </c>
      <c r="D22" s="13" t="n">
        <v>19</v>
      </c>
      <c r="E22" s="7" t="n">
        <v>-9500</v>
      </c>
      <c r="F22" s="7" t="n">
        <v>-38000</v>
      </c>
    </row>
    <row r="23">
      <c r="A23" s="30" t="inlineStr">
        <is>
          <t>B2a</t>
        </is>
      </c>
      <c r="B23" s="12" t="inlineStr">
        <is>
          <t>Shared OT budget + cap - Fire (dept &gt;10% annual OT)</t>
        </is>
      </c>
      <c r="C23" s="12" t="inlineStr">
        <is>
          <t>40% reduction of excess OT above 10% threshold (excess 13,618 h x $48.00 = $653,664)</t>
        </is>
      </c>
      <c r="D23" s="13" t="inlineStr">
        <is>
          <t>-</t>
        </is>
      </c>
      <c r="E23" s="7" t="n">
        <v>261465.6</v>
      </c>
      <c r="F23" s="7" t="inlineStr">
        <is>
          <t>-</t>
        </is>
      </c>
    </row>
    <row r="24">
      <c r="A24" s="30" t="inlineStr">
        <is>
          <t>B2b</t>
        </is>
      </c>
      <c r="B24" s="12" t="inlineStr">
        <is>
          <t>Shared OT budget - all other departments</t>
        </is>
      </c>
      <c r="C24" s="12" t="inlineStr">
        <is>
          <t>10% reduction of non-Fire OT cost via pooled approval and scheduling</t>
        </is>
      </c>
      <c r="D24" s="13" t="inlineStr">
        <is>
          <t>-</t>
        </is>
      </c>
      <c r="E24" s="7" t="n">
        <v>226920.625</v>
      </c>
      <c r="F24" s="7" t="inlineStr">
        <is>
          <t>-</t>
        </is>
      </c>
    </row>
    <row r="25">
      <c r="A25" s="30" t="inlineStr">
        <is>
          <t>B3a</t>
        </is>
      </c>
      <c r="B25" s="12" t="inlineStr">
        <is>
          <t>Centralized hiring team (divisions &gt;12% vacancy)</t>
        </is>
      </c>
      <c r="C25" s="12" t="inlineStr">
        <is>
          <t>3 HR FTE dedicated recruiter/screening team</t>
        </is>
      </c>
      <c r="D25" s="13" t="n">
        <v>3</v>
      </c>
      <c r="E25" s="7" t="n">
        <v>-195000</v>
      </c>
      <c r="F25" s="7" t="inlineStr">
        <is>
          <t>-</t>
        </is>
      </c>
    </row>
    <row r="26">
      <c r="A26" s="30" t="inlineStr">
        <is>
          <t>B3b</t>
        </is>
      </c>
      <c r="B26" s="12" t="inlineStr">
        <is>
          <t>Funded backfill of triggered vacancies</t>
        </is>
      </c>
      <c r="C26" s="12" t="inlineStr">
        <is>
          <t>60% of 36 triggered vacancies filled in Year 1 (Transportation 12 @ $48,647 wavg; Health Services 10 @ $60,439 wavg)</t>
        </is>
      </c>
      <c r="D26" s="13" t="n">
        <v>22</v>
      </c>
      <c r="E26" s="7" t="n">
        <v>-1188155.921052631</v>
      </c>
      <c r="F26" s="7" t="n">
        <v>-55000</v>
      </c>
    </row>
    <row r="27">
      <c r="A27" s="30" t="inlineStr">
        <is>
          <t>B3c</t>
        </is>
      </c>
      <c r="B27" s="12" t="inlineStr">
        <is>
          <t>OT displacement from restored capacity</t>
        </is>
      </c>
      <c r="C27" s="12" t="inlineStr">
        <is>
          <t>22 backfilled positions displace ~300 OT hours each at $34.75/h (conservative single rate)</t>
        </is>
      </c>
      <c r="D27" s="13" t="n">
        <v>22</v>
      </c>
      <c r="E27" s="7" t="n">
        <v>229350</v>
      </c>
      <c r="F27" s="7" t="inlineStr">
        <is>
          <t>-</t>
        </is>
      </c>
    </row>
    <row r="28">
      <c r="B28" s="15" t="inlineStr">
        <is>
          <t>Total annual savings (positive amounts)</t>
        </is>
      </c>
      <c r="E28" s="18">
        <f>SUMIF(E22:E27,"&gt;0")</f>
        <v/>
      </c>
    </row>
    <row r="29">
      <c r="B29" s="15" t="inlineStr">
        <is>
          <t>Total annual recurring cost (negative amounts)</t>
        </is>
      </c>
      <c r="E29" s="18">
        <f>SUMIF(E22:E27,"&lt;0")</f>
        <v/>
      </c>
    </row>
    <row r="30">
      <c r="B30" s="15" t="inlineStr">
        <is>
          <t>Net recurring impact (savings + costs)</t>
        </is>
      </c>
      <c r="E30" s="18">
        <f>E28+E29</f>
        <v/>
      </c>
    </row>
    <row r="31">
      <c r="B31" s="4" t="inlineStr">
        <is>
          <t>One-time implementation (training + recruiting)</t>
        </is>
      </c>
      <c r="F31" s="31">
        <f>SUMIF(F22:F27,"&lt;0")</f>
        <v/>
      </c>
    </row>
    <row r="32">
      <c r="B32" s="4" t="inlineStr">
        <is>
          <t>Net Year 1 (50% savings ramp, full hiring/training cost)</t>
        </is>
      </c>
      <c r="E32" s="31" t="n">
        <v>-532709.8480263157</v>
      </c>
    </row>
    <row r="34">
      <c r="A34" s="27" t="inlineStr">
        <is>
          <t>FTE touched (pool + backfill + HR + fleet n/a): 44 of 542 filled (8.1%). Projected SLA improvement: +8.0 pts on the 8 below-target processes. No positions eliminated; no layoffs.</t>
        </is>
      </c>
      <c r="B34" s="28" t="n"/>
      <c r="C34" s="28" t="n"/>
      <c r="D34" s="28" t="n"/>
      <c r="E34" s="28" t="n"/>
      <c r="F34" s="29" t="n"/>
    </row>
  </sheetData>
  <mergeCells count="6">
    <mergeCell ref="A2:F2"/>
    <mergeCell ref="A1:F1"/>
    <mergeCell ref="A9:F9"/>
    <mergeCell ref="A34:F34"/>
    <mergeCell ref="A4:F4"/>
    <mergeCell ref="A20:F20"/>
  </mergeCells>
  <conditionalFormatting sqref="C11:C18">
    <cfRule type="cellIs" priority="1" operator="greaterThan" dxfId="0">
      <formula>12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6" customWidth="1" min="5" max="5"/>
    <col width="52" customWidth="1" min="6" max="6"/>
  </cols>
  <sheetData>
    <row r="1">
      <c r="A1" s="1" t="inlineStr">
        <is>
          <t>Comparison Summary - Proposal A vs Proposal B vs Hybrid (Recommended)</t>
        </is>
      </c>
    </row>
    <row r="2">
      <c r="A2" s="2" t="inlineStr">
        <is>
          <t>Scoring: 5 = best. Weights: Annual savings 30%, SLA improvement 30%, FTE agility 10%, Complexity 15%, Risk 15%.</t>
        </is>
      </c>
    </row>
    <row r="4">
      <c r="A4" s="25" t="inlineStr">
        <is>
          <t>Five-dimension comparison</t>
        </is>
      </c>
      <c r="B4" s="26" t="n"/>
      <c r="C4" s="26" t="n"/>
      <c r="D4" s="26" t="n"/>
      <c r="E4" s="26" t="n"/>
      <c r="F4" s="26" t="n"/>
    </row>
    <row r="5">
      <c r="A5" s="3" t="inlineStr">
        <is>
          <t>Dimension</t>
        </is>
      </c>
      <c r="B5" s="3" t="inlineStr">
        <is>
          <t>Weight</t>
        </is>
      </c>
      <c r="C5" s="3" t="inlineStr">
        <is>
          <t>Proposal A (Consolidate)</t>
        </is>
      </c>
      <c r="D5" s="3" t="inlineStr">
        <is>
          <t>Proposal B (Targeted Fix)</t>
        </is>
      </c>
      <c r="E5" s="3" t="inlineStr">
        <is>
          <t>Hybrid (B + shared fleet)</t>
        </is>
      </c>
      <c r="F5" s="3" t="inlineStr">
        <is>
          <t>Rationale</t>
        </is>
      </c>
    </row>
    <row r="6">
      <c r="A6" s="4" t="inlineStr">
        <is>
          <t>Annual cost savings (recurring, steady-state)</t>
        </is>
      </c>
      <c r="B6" s="32" t="n">
        <v>0.3</v>
      </c>
      <c r="C6" s="13" t="n">
        <v>5</v>
      </c>
      <c r="D6" s="13" t="n">
        <v>2</v>
      </c>
      <c r="E6" s="13" t="n">
        <v>4</v>
      </c>
      <c r="F6" s="27" t="inlineStr">
        <is>
          <t>A $1.39M; B -$0.67M net (buys service capacity); H -$0.41M net incl. fleet sharing $0.26M</t>
        </is>
      </c>
    </row>
    <row r="7">
      <c r="A7" s="4" t="inlineStr">
        <is>
          <t>Projected SLA improvement (on-time pts)</t>
        </is>
      </c>
      <c r="B7" s="32" t="n">
        <v>0.3</v>
      </c>
      <c r="C7" s="13" t="n">
        <v>2</v>
      </c>
      <c r="D7" s="13" t="n">
        <v>5</v>
      </c>
      <c r="E7" s="13" t="n">
        <v>5</v>
      </c>
      <c r="F7" s="27" t="inlineStr">
        <is>
          <t>A +1.0 pt indirect with 2-5 pt transition dip; B/H +8.0 pts on the 8 failing processes</t>
        </is>
      </c>
    </row>
    <row r="8">
      <c r="A8" s="4" t="inlineStr">
        <is>
          <t>FTE agility (positions touched/redeployed)</t>
        </is>
      </c>
      <c r="B8" s="32" t="n">
        <v>0.1</v>
      </c>
      <c r="C8" s="13" t="n">
        <v>3</v>
      </c>
      <c r="D8" s="13" t="n">
        <v>4</v>
      </c>
      <c r="E8" s="13" t="n">
        <v>4</v>
      </c>
      <c r="F8" s="27" t="inlineStr">
        <is>
          <t>A removes 25 authorized via attrition; B/H touches 44-47 FTE with zero layoffs</t>
        </is>
      </c>
    </row>
    <row r="9">
      <c r="A9" s="4" t="inlineStr">
        <is>
          <t>Implementation complexity (1 = low)</t>
        </is>
      </c>
      <c r="B9" s="32" t="n">
        <v>0.15</v>
      </c>
      <c r="C9" s="13" t="n">
        <v>4</v>
      </c>
      <c r="D9" s="13" t="n">
        <v>2</v>
      </c>
      <c r="E9" s="13" t="n">
        <v>3</v>
      </c>
      <c r="F9" s="27" t="inlineStr">
        <is>
          <t>A: two mergers, 12-month transition, SOP/IT/route re-planning; B: three bounded interventions</t>
        </is>
      </c>
    </row>
    <row r="10">
      <c r="A10" s="4" t="inlineStr">
        <is>
          <t>Execution risk (1 = low)</t>
        </is>
      </c>
      <c r="B10" s="32" t="n">
        <v>0.15</v>
      </c>
      <c r="C10" s="13" t="n">
        <v>4</v>
      </c>
      <c r="D10" s="13" t="n">
        <v>2</v>
      </c>
      <c r="E10" s="13" t="n">
        <v>2</v>
      </c>
      <c r="F10" s="27" t="inlineStr">
        <is>
          <t>A: clinical safety + union contract + service dip; B/H: hiring-market dependency only</t>
        </is>
      </c>
    </row>
    <row r="11">
      <c r="A11" s="15" t="inlineStr">
        <is>
          <t>WEIGHTED SCORE</t>
        </is>
      </c>
      <c r="B11" s="23">
        <f>SUM(B6:B10)</f>
        <v/>
      </c>
      <c r="C11" s="22">
        <f>SUMPRODUCT($B$6:$B$10,C6:C10)</f>
        <v/>
      </c>
      <c r="D11" s="22">
        <f>SUMPRODUCT($B$6:$B$10,D6:D10)</f>
        <v/>
      </c>
      <c r="E11" s="22">
        <f>SUMPRODUCT($B$6:$B$10,E6:E10)</f>
        <v/>
      </c>
      <c r="F11" s="33" t="inlineStr">
        <is>
          <t>Higher = better fit for Greenfield</t>
        </is>
      </c>
    </row>
    <row r="13">
      <c r="A13" s="25" t="inlineStr">
        <is>
          <t>Financial and operational summary (from Proposal A/B tabs)</t>
        </is>
      </c>
      <c r="B13" s="26" t="n"/>
      <c r="C13" s="26" t="n"/>
      <c r="D13" s="26" t="n"/>
      <c r="E13" s="26" t="n"/>
      <c r="F13" s="26" t="n"/>
    </row>
    <row r="14">
      <c r="A14" s="3" t="inlineStr">
        <is>
          <t>Metric</t>
        </is>
      </c>
      <c r="B14" s="3" t="inlineStr">
        <is>
          <t>Proposal A</t>
        </is>
      </c>
      <c r="C14" s="3" t="inlineStr">
        <is>
          <t>Proposal B</t>
        </is>
      </c>
      <c r="D14" s="3" t="inlineStr">
        <is>
          <t>Hybrid</t>
        </is>
      </c>
      <c r="E14" s="3" t="inlineStr">
        <is>
          <t>Notes</t>
        </is>
      </c>
    </row>
    <row r="15">
      <c r="A15" s="4" t="inlineStr">
        <is>
          <t>Recurring annual savings (steady state)</t>
        </is>
      </c>
      <c r="B15" s="34" t="n">
        <v>1385134.507114443</v>
      </c>
      <c r="C15" s="34" t="n">
        <v>717736.225</v>
      </c>
      <c r="D15" s="34" t="n">
        <v>977824.725</v>
      </c>
      <c r="E15" s="12" t="inlineStr"/>
      <c r="F15" s="27" t="inlineStr">
        <is>
          <t>A: salary $1,217,453 + OT $167,681; B: OT cuts $488,386 + OT displacement $229,350; H: B + fleet $260,088</t>
        </is>
      </c>
    </row>
    <row r="16">
      <c r="A16" s="4" t="inlineStr">
        <is>
          <t>Recurring annual cost</t>
        </is>
      </c>
      <c r="B16" s="34" t="n">
        <v>0</v>
      </c>
      <c r="C16" s="34" t="n">
        <v>1392655.921052631</v>
      </c>
      <c r="D16" s="34" t="n">
        <v>1392655.921052631</v>
      </c>
      <c r="E16" s="12" t="inlineStr"/>
      <c r="F16" s="27" t="inlineStr">
        <is>
          <t>B/H: backfill salaries $1,188,156 + HR team $195,000 + training maint $9,500</t>
        </is>
      </c>
    </row>
    <row r="17">
      <c r="A17" s="4" t="inlineStr">
        <is>
          <t>Net Year 1</t>
        </is>
      </c>
      <c r="B17" s="34" t="n">
        <v>-207432.7464427784</v>
      </c>
      <c r="C17" s="34" t="n">
        <v>-532709.8480263157</v>
      </c>
      <c r="D17" s="34" t="n">
        <v>-702665.5980263157</v>
      </c>
      <c r="E17" s="12" t="inlineStr"/>
      <c r="F17" s="27" t="inlineStr">
        <is>
          <t>A nets positive by Year 2 only after $0.9M transition drag</t>
        </is>
      </c>
    </row>
    <row r="18">
      <c r="A18" s="4" t="inlineStr">
        <is>
          <t>Net Year 2 (steady state)</t>
        </is>
      </c>
      <c r="B18" s="34" t="n">
        <v>1085134.507114443</v>
      </c>
      <c r="C18" s="34" t="n">
        <v>-674919.6960526315</v>
      </c>
      <c r="D18" s="34" t="n">
        <v>-414831.1960526315</v>
      </c>
      <c r="E18" s="12" t="inlineStr"/>
      <c r="F18" s="27" t="inlineStr">
        <is>
          <t>Only Proposal A is cash-positive; B/H purchase measurable service recovery</t>
        </is>
      </c>
    </row>
    <row r="19">
      <c r="A19" s="4" t="inlineStr">
        <is>
          <t>Positions eliminated (attrition)</t>
        </is>
      </c>
      <c r="B19" s="34" t="n">
        <v>25</v>
      </c>
      <c r="C19" s="34" t="n">
        <v>0</v>
      </c>
      <c r="D19" s="34" t="n">
        <v>0</v>
      </c>
      <c r="E19" s="12" t="inlineStr"/>
      <c r="F19" s="27" t="inlineStr">
        <is>
          <t>B/H eliminate no positions</t>
        </is>
      </c>
    </row>
    <row r="20">
      <c r="A20" s="4" t="inlineStr">
        <is>
          <t>FTE touched / redeployed</t>
        </is>
      </c>
      <c r="B20" s="34" t="n">
        <v>25</v>
      </c>
      <c r="C20" s="34" t="n">
        <v>44</v>
      </c>
      <c r="D20" s="34" t="n">
        <v>47</v>
      </c>
      <c r="E20" s="12" t="inlineStr"/>
      <c r="F20" s="27" t="inlineStr">
        <is>
          <t>Pool 19 + backfill 22 + HR 3 (+ fleet 3 for Hybrid)</t>
        </is>
      </c>
    </row>
    <row r="21">
      <c r="A21" s="4" t="inlineStr">
        <is>
          <t>Projected on-time improvement (pts)</t>
        </is>
      </c>
      <c r="B21" s="34" t="n">
        <v>1</v>
      </c>
      <c r="C21" s="34" t="n">
        <v>8</v>
      </c>
      <c r="D21" s="34" t="n">
        <v>8</v>
      </c>
      <c r="E21" s="12" t="inlineStr"/>
      <c r="F21" s="27" t="inlineStr">
        <is>
          <t>Baseline: 8 processes below 65% on-time citywide</t>
        </is>
      </c>
    </row>
    <row r="22">
      <c r="A22" s="4" t="inlineStr">
        <is>
          <t>Vacancy-rate effect (citywide)</t>
        </is>
      </c>
      <c r="B22" s="12" t="inlineStr">
        <is>
          <t>No direct effect (9.1% unchanged)</t>
        </is>
      </c>
      <c r="C22" s="12" t="inlineStr">
        <is>
          <t>9.1% -&gt; ~5.4% (22 of 54 vacancies filled)</t>
        </is>
      </c>
      <c r="D22" s="12" t="inlineStr">
        <is>
          <t>Same as B</t>
        </is>
      </c>
      <c r="E22" s="12" t="inlineStr"/>
      <c r="F22" s="27" t="inlineStr">
        <is>
          <t>54 vacancies citywide; triggers cover 36</t>
        </is>
      </c>
    </row>
    <row r="24" ht="45" customHeight="1">
      <c r="A24" s="25" t="inlineStr">
        <is>
          <t>RECOMMENDATION: Hybrid (weighted score 4.30 vs 3.00 for A and 3.70 for B). Adopt Proposal B now (12-month implementation) and implement shared fleet services from Proposal A as a Phase-2 shared-service consolidation without full department merger. Re-evaluate full consolidation only if vacancy persists after the hiring interventions.</t>
        </is>
      </c>
    </row>
  </sheetData>
  <mergeCells count="5">
    <mergeCell ref="A24:F24"/>
    <mergeCell ref="A2:F2"/>
    <mergeCell ref="A13:F13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52" customWidth="1" min="3" max="3"/>
    <col width="60" customWidth="1" min="4" max="4"/>
  </cols>
  <sheetData>
    <row r="1">
      <c r="A1" s="1" t="inlineStr">
        <is>
          <t>Assumptions, Thresholds and Source Traceability</t>
        </is>
      </c>
    </row>
    <row r="3">
      <c r="A3" s="3" t="inlineStr">
        <is>
          <t>Ref</t>
        </is>
      </c>
      <c r="B3" s="3" t="inlineStr">
        <is>
          <t>Assumption / Source</t>
        </is>
      </c>
      <c r="C3" s="3" t="inlineStr">
        <is>
          <t>Value</t>
        </is>
      </c>
      <c r="D3" s="3" t="inlineStr">
        <is>
          <t>Rationale</t>
        </is>
      </c>
    </row>
    <row r="4">
      <c r="A4" s="30" t="inlineStr">
        <is>
          <t>A1</t>
        </is>
      </c>
      <c r="B4" s="4" t="inlineStr">
        <is>
          <t>Admin consolidation rate (Proposal A)</t>
        </is>
      </c>
      <c r="C4" s="12" t="inlineStr">
        <is>
          <t>4% of merged authorized positions</t>
        </is>
      </c>
      <c r="D4" s="27" t="inlineStr">
        <is>
          <t>Typical span-of-control savings in municipal mergers; conservative (no field reduction)</t>
        </is>
      </c>
    </row>
    <row r="5">
      <c r="A5" s="30" t="inlineStr">
        <is>
          <t>A2a</t>
        </is>
      </c>
      <c r="B5" s="4" t="inlineStr">
        <is>
          <t>Fleet shop absorption</t>
        </is>
      </c>
      <c r="C5" s="12" t="inlineStr">
        <is>
          <t>20% of Sanitation Fleet Maintenance (3 of 17 @ $52,300)</t>
        </is>
      </c>
      <c r="D5" s="27" t="inlineStr">
        <is>
          <t>Joint shop serves combined PW fleet across 5 boroughs</t>
        </is>
      </c>
    </row>
    <row r="6">
      <c r="A6" s="30" t="inlineStr">
        <is>
          <t>A2b</t>
        </is>
      </c>
      <c r="B6" s="4" t="inlineStr">
        <is>
          <t>Fleet OT reduction</t>
        </is>
      </c>
      <c r="C6" s="12" t="inlineStr">
        <is>
          <t>8% of PW OT cost ($103,188)</t>
        </is>
      </c>
      <c r="D6" s="27" t="inlineStr">
        <is>
          <t>Consolidated scheduling/dispatch reduces standby OT</t>
        </is>
      </c>
    </row>
    <row r="7">
      <c r="A7" s="30" t="inlineStr">
        <is>
          <t>A3</t>
        </is>
      </c>
      <c r="B7" s="4" t="inlineStr">
        <is>
          <t>Shared field deployment OT reduction</t>
        </is>
      </c>
      <c r="C7" s="12" t="inlineStr">
        <is>
          <t>5% of PW OT cost ($64,493)</t>
        </is>
      </c>
      <c r="D7" s="27" t="inlineStr">
        <is>
          <t>Cross-borough crew sharing; all 5 departments already operate in all 5 boroughs [S1]</t>
        </is>
      </c>
    </row>
    <row r="8">
      <c r="A8" s="30" t="inlineStr">
        <is>
          <t>A4</t>
        </is>
      </c>
      <c r="B8" s="4" t="inlineStr">
        <is>
          <t>Seasonal flex retiming</t>
        </is>
      </c>
      <c r="C8" s="12" t="inlineStr">
        <is>
          <t>2% of CW authorized (4 positions)</t>
        </is>
      </c>
      <c r="D8" s="27" t="inlineStr">
        <is>
          <t>Parks summer peak vs Health flu-season peak partially offset</t>
        </is>
      </c>
    </row>
    <row r="9">
      <c r="A9" s="30" t="inlineStr">
        <is>
          <t>A-T</t>
        </is>
      </c>
      <c r="B9" s="4" t="inlineStr">
        <is>
          <t>Transition cost</t>
        </is>
      </c>
      <c r="C9" s="12" t="inlineStr">
        <is>
          <t>$1,200,000 one-time (75% Y1 / 25% Y2)</t>
        </is>
      </c>
      <c r="D9" s="27" t="inlineStr">
        <is>
          <t>IT migration, SOP re-issue, HR/legal, facility re-stacking for two mergers</t>
        </is>
      </c>
    </row>
    <row r="10">
      <c r="A10" s="30" t="inlineStr">
        <is>
          <t>A-P</t>
        </is>
      </c>
      <c r="B10" s="4" t="inlineStr">
        <is>
          <t>Savings phase-in</t>
        </is>
      </c>
      <c r="C10" s="12" t="inlineStr">
        <is>
          <t>50% Y1 / 100% Y2</t>
        </is>
      </c>
      <c r="D10" s="27" t="inlineStr">
        <is>
          <t>Positions exit via 24-month attrition freeze; no layoffs</t>
        </is>
      </c>
    </row>
    <row r="11">
      <c r="A11" s="30" t="inlineStr">
        <is>
          <t>B1</t>
        </is>
      </c>
      <c r="B11" s="4" t="inlineStr">
        <is>
          <t>Cross-training pool</t>
        </is>
      </c>
      <c r="C11" s="12" t="inlineStr">
        <is>
          <t>10% of field-crew filled positions = 19; $2,000/trainee one-time + $500/yr maintenance</t>
        </is>
      </c>
      <c r="D11" s="27" t="inlineStr">
        <is>
          <t>Targets OT dependency in field crews</t>
        </is>
      </c>
    </row>
    <row r="12">
      <c r="A12" s="30" t="inlineStr">
        <is>
          <t>B2</t>
        </is>
      </c>
      <c r="B12" s="4" t="inlineStr">
        <is>
          <t>Shared OT budget</t>
        </is>
      </c>
      <c r="C12" s="12" t="inlineStr">
        <is>
          <t>Fire: 40% cut of OT above 10% threshold; others: 10% cut</t>
        </is>
      </c>
      <c r="D12" s="27" t="inlineStr">
        <is>
          <t>Trigger: annual OT &gt;10% of regular hours (only Fire: 14.6%)</t>
        </is>
      </c>
    </row>
    <row r="13">
      <c r="A13" s="30" t="inlineStr">
        <is>
          <t>B3</t>
        </is>
      </c>
      <c r="B13" s="4" t="inlineStr">
        <is>
          <t>Centralized hiring</t>
        </is>
      </c>
      <c r="C13" s="12" t="inlineStr">
        <is>
          <t>60% of 36 triggered vacancies filled Y1; 3 HR FTE @ $65,000; $2,500 recruitment cost/hire</t>
        </is>
      </c>
      <c r="D13" s="27" t="inlineStr">
        <is>
          <t>Trigger: division vacancy &gt;12% (4 Transportation + 4 Health Services divisions)</t>
        </is>
      </c>
    </row>
    <row r="14">
      <c r="A14" s="30" t="inlineStr">
        <is>
          <t>B-OT</t>
        </is>
      </c>
      <c r="B14" s="4" t="inlineStr">
        <is>
          <t>OT displacement rate</t>
        </is>
      </c>
      <c r="C14" s="12" t="inlineStr">
        <is>
          <t>300 OT hours per backfilled position @ $34.75/h</t>
        </is>
      </c>
      <c r="D14" s="27" t="inlineStr">
        <is>
          <t>Conservative single-rate assumption (Transportation OT rate)</t>
        </is>
      </c>
    </row>
    <row r="15">
      <c r="A15" s="30" t="inlineStr">
        <is>
          <t>H</t>
        </is>
      </c>
      <c r="B15" s="4" t="inlineStr">
        <is>
          <t>Hybrid construction</t>
        </is>
      </c>
      <c r="C15" s="12" t="inlineStr">
        <is>
          <t>B + shared fleet services from A (A2a+A2b = $260,088) without merger</t>
        </is>
      </c>
      <c r="D15" s="27" t="inlineStr">
        <is>
          <t>Captures A fleet economies; avoids merger disruption</t>
        </is>
      </c>
    </row>
    <row r="16">
      <c r="A16" s="30" t="inlineStr">
        <is>
          <t>S1</t>
        </is>
      </c>
      <c r="B16" s="4" t="inlineStr">
        <is>
          <t>Greenfield_Dept_Staffing_Overtime_FY2024.xlsx</t>
        </is>
      </c>
      <c r="C16" s="12" t="inlineStr">
        <is>
          <t>Staffing_Summary / Monthly_Overtime / Process_Metrics</t>
        </is>
      </c>
      <c r="D16" s="27" t="inlineStr">
        <is>
          <t>All staffing, OT and process metrics</t>
        </is>
      </c>
    </row>
    <row r="17">
      <c r="A17" s="30" t="inlineStr">
        <is>
          <t>S2</t>
        </is>
      </c>
      <c r="B17" s="4" t="inlineStr">
        <is>
          <t>Greenfield_311_Service_Requests_FY2024.csv</t>
        </is>
      </c>
      <c r="C17" s="12" t="inlineStr">
        <is>
          <t>500 service requests Jul 2023-Jun 2024</t>
        </is>
      </c>
      <c r="D17" s="27" t="inlineStr">
        <is>
          <t>311 resolution days, satisfaction, backlog</t>
        </is>
      </c>
    </row>
    <row r="18">
      <c r="A18" s="30" t="inlineStr">
        <is>
          <t>S3</t>
        </is>
      </c>
      <c r="B18" s="4" t="inlineStr">
        <is>
          <t>NYC_Expense_Budget_Selected.csv</t>
        </is>
      </c>
      <c r="C18" s="12" t="inlineStr">
        <is>
          <t>FY2025 adopted budgets (DOHMH, DPR, DSNY, DOT, FDNY)</t>
        </is>
      </c>
      <c r="D18" s="27" t="inlineStr">
        <is>
          <t>Per-employee budget benchmark</t>
        </is>
      </c>
    </row>
    <row r="19">
      <c r="A19" s="30" t="inlineStr">
        <is>
          <t>S4</t>
        </is>
      </c>
      <c r="B19" s="4" t="inlineStr">
        <is>
          <t>NYC MMR indicators (dataset rbed-zzin)</t>
        </is>
      </c>
      <c r="C19" s="12" t="inlineStr">
        <is>
          <t>FY2026 citywide rows</t>
        </is>
      </c>
      <c r="D19" s="27" t="inlineStr">
        <is>
          <t>SLA/response-time targets: potholes 98%, food SLA 90%, FDNY response 4.14/6.55 min</t>
        </is>
      </c>
    </row>
    <row r="20">
      <c r="A20" s="30" t="inlineStr">
        <is>
          <t>S5</t>
        </is>
      </c>
      <c r="B20" s="4" t="inlineStr">
        <is>
          <t>NYS Comptroller Report 2-2025 (May 2024)</t>
        </is>
      </c>
      <c r="C20" s="12" t="inlineStr">
        <is>
          <t>2024 Update on NYC Staffing Trends</t>
        </is>
      </c>
      <c r="D20" s="27" t="inlineStr">
        <is>
          <t>Vacancy 5.1% citywide; DOT 10.0%, DOHMH 9.3%; OT $1.8B, 10.8% of payroll; attrition dynamics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2026-10-19T15:33:00Z</dcterms:created>
  <dcterms:modified xmlns:dcterms="http://purl.org/dc/terms/" xmlns:xsi="http://www.w3.org/2001/XMLSchema-instance" xsi:type="dcterms:W3CDTF">2026-10-19T15:33:00Z</dcterms:modified>
</cp:coreProperties>
</file>