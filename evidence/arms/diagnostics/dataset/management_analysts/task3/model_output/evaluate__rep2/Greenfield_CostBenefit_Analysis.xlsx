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Metrics" sheetId="1" state="visible" r:id="rId1"/>
    <sheet xmlns:r="http://schemas.openxmlformats.org/officeDocument/2006/relationships" name="Proposal A Model" sheetId="2" state="visible" r:id="rId2"/>
    <sheet xmlns:r="http://schemas.openxmlformats.org/officeDocument/2006/relationships" name="Proposal B Model" sheetId="3" state="visible" r:id="rId3"/>
    <sheet xmlns:r="http://schemas.openxmlformats.org/officeDocument/2006/relationships" name="Comparis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&quot;%&quot;"/>
    <numFmt numFmtId="165" formatCode="$#,##0"/>
    <numFmt numFmtId="166" formatCode="$#,##0.00"/>
    <numFmt numFmtId="167" formatCode="0.0"/>
    <numFmt numFmtId="168" formatCode="0.0&quot;%&quot;"/>
    <numFmt numFmtId="169" formatCode="0.000"/>
    <numFmt numFmtId="170" formatCode="0&quot;%&quot;"/>
  </numFmts>
  <fonts count="8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9"/>
    </font>
    <font>
      <b val="1"/>
      <color rgb="001F3864"/>
      <sz val="12"/>
    </font>
    <font>
      <sz val="10"/>
    </font>
    <font>
      <b val="1"/>
      <color rgb="00FFFFFF"/>
      <sz val="10"/>
    </font>
    <font>
      <b val="1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/>
    </xf>
    <xf numFmtId="168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9" fontId="4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/>
    </xf>
    <xf numFmtId="170" fontId="4" fillId="0" borderId="1" applyAlignment="1" pivotButton="0" quotePrefix="0" xfId="0">
      <alignment horizontal="right"/>
    </xf>
    <xf numFmtId="0" fontId="6" fillId="0" borderId="0" pivotButton="0" quotePrefix="0" xfId="0"/>
    <xf numFmtId="166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7" fillId="3" borderId="1" applyAlignment="1" pivotButton="0" quotePrefix="0" xfId="0">
      <alignment horizontal="left" vertical="center" wrapText="1"/>
    </xf>
    <xf numFmtId="2" fontId="7" fillId="3" borderId="1" applyAlignment="1" pivotButton="0" quotePrefix="0" xfId="0">
      <alignment horizontal="right"/>
    </xf>
    <xf numFmtId="0" fontId="4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E2EFDA"/>
          <bgColor rgb="00E2EFDA"/>
        </patternFill>
      </fill>
    </dxf>
    <dxf>
      <font>
        <b val="1"/>
        <color rgb="00375623"/>
        <sz val="11"/>
      </font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OT % of Regular Hours by Department (FY2024)</a:t>
            </a:r>
          </a:p>
        </rich>
      </tx>
    </title>
    <plotArea>
      <lineChart>
        <grouping val="standard"/>
        <ser>
          <idx val="0"/>
          <order val="0"/>
          <tx>
            <strRef>
              <f>'Baseline Metrics'!B81</f>
            </strRef>
          </tx>
          <spPr>
            <a:ln xmlns:a="http://schemas.openxmlformats.org/drawingml/2006/main" w="24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'Baseline Metrics'!$A$82:$A$93</f>
            </numRef>
          </cat>
          <val>
            <numRef>
              <f>'Baseline Metrics'!$B$82:$B$93</f>
            </numRef>
          </val>
        </ser>
        <ser>
          <idx val="1"/>
          <order val="1"/>
          <tx>
            <strRef>
              <f>'Baseline Metrics'!C81</f>
            </strRef>
          </tx>
          <spPr>
            <a:ln xmlns:a="http://schemas.openxmlformats.org/drawingml/2006/main" w="24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'Baseline Metrics'!$A$82:$A$93</f>
            </numRef>
          </cat>
          <val>
            <numRef>
              <f>'Baseline Metrics'!$C$82:$C$93</f>
            </numRef>
          </val>
        </ser>
        <ser>
          <idx val="2"/>
          <order val="2"/>
          <tx>
            <strRef>
              <f>'Baseline Metrics'!D81</f>
            </strRef>
          </tx>
          <spPr>
            <a:ln xmlns:a="http://schemas.openxmlformats.org/drawingml/2006/main" w="24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'Baseline Metrics'!$A$82:$A$93</f>
            </numRef>
          </cat>
          <val>
            <numRef>
              <f>'Baseline Metrics'!$D$82:$D$93</f>
            </numRef>
          </val>
        </ser>
        <ser>
          <idx val="3"/>
          <order val="3"/>
          <tx>
            <strRef>
              <f>'Baseline Metrics'!E81</f>
            </strRef>
          </tx>
          <spPr>
            <a:ln xmlns:a="http://schemas.openxmlformats.org/drawingml/2006/main" w="24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'Baseline Metrics'!$A$82:$A$93</f>
            </numRef>
          </cat>
          <val>
            <numRef>
              <f>'Baseline Metrics'!$E$82:$E$93</f>
            </numRef>
          </val>
        </ser>
        <ser>
          <idx val="4"/>
          <order val="4"/>
          <tx>
            <strRef>
              <f>'Baseline Metrics'!F81</f>
            </strRef>
          </tx>
          <spPr>
            <a:ln xmlns:a="http://schemas.openxmlformats.org/drawingml/2006/main" w="24000">
              <a:solidFill>
                <a:srgbClr val="C0000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'Baseline Metrics'!$A$82:$A$93</f>
            </numRef>
          </cat>
          <val>
            <numRef>
              <f>'Baseline Metrics'!$F$82:$F$93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(FY2024)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OT % of regular 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fiscal impact: Year 1 vs 3-year cumulative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 Summary'!B32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'Comparison Summary'!$A$33:$A$35</f>
            </numRef>
          </cat>
          <val>
            <numRef>
              <f>'Comparison Summary'!$B$33:$B$35</f>
            </numRef>
          </val>
        </ser>
        <ser>
          <idx val="1"/>
          <order val="1"/>
          <tx>
            <strRef>
              <f>'Comparison Summary'!C32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'Comparison Summary'!$A$33:$A$35</f>
            </numRef>
          </cat>
          <val>
            <numRef>
              <f>'Comparison Summary'!$C$33:$C$35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80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R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0" customWidth="1" min="3" max="3"/>
    <col width="9" customWidth="1" min="4" max="4"/>
    <col width="10" customWidth="1" min="5" max="5"/>
    <col width="9.5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3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</cols>
  <sheetData>
    <row r="1">
      <c r="A1" s="1" t="inlineStr">
        <is>
          <t>City of Greenfield - FY2024 Baseline Metrics</t>
        </is>
      </c>
    </row>
    <row r="2">
      <c r="A2" s="2" t="inlineStr">
        <is>
          <t>Sources: [1] Greenfield 311 SR FY2024 | [2] Greenfield Staffing &amp; Overtime FY2024 | [3] NYC Expense Budget FY2024 | [4] NYC MMR (rbed-zzin) | [5] NYS Comptroller Report 2-2025. RED = trigger thresholds: vacancy &gt;12%, OT &gt;10% of regular hours, on-time &lt;65%.</t>
        </is>
      </c>
    </row>
    <row r="4">
      <c r="A4" s="3" t="inlineStr">
        <is>
          <t>1. Citywide Summary (FY2024)</t>
        </is>
      </c>
    </row>
    <row r="5">
      <c r="A5" s="4" t="inlineStr">
        <is>
          <t>Authorized positions</t>
        </is>
      </c>
      <c r="B5" s="5" t="n">
        <v>596</v>
      </c>
    </row>
    <row r="6">
      <c r="A6" s="4" t="inlineStr">
        <is>
          <t>Filled positions</t>
        </is>
      </c>
      <c r="B6" s="5" t="n">
        <v>542</v>
      </c>
    </row>
    <row r="7">
      <c r="A7" s="4" t="inlineStr">
        <is>
          <t>Vacancy rate</t>
        </is>
      </c>
      <c r="B7" s="6" t="n">
        <v>9.06</v>
      </c>
    </row>
    <row r="8">
      <c r="A8" s="4" t="inlineStr">
        <is>
          <t>Annual payroll (filled)</t>
        </is>
      </c>
      <c r="B8" s="7" t="n">
        <v>28389900</v>
      </c>
    </row>
    <row r="9">
      <c r="A9" s="4" t="inlineStr">
        <is>
          <t>Overtime cost</t>
        </is>
      </c>
      <c r="B9" s="8" t="n">
        <v>4354518.25</v>
      </c>
    </row>
    <row r="10">
      <c r="A10" s="4" t="inlineStr">
        <is>
          <t>OT as % of regular hours</t>
        </is>
      </c>
      <c r="B10" s="6" t="n">
        <v>9.59</v>
      </c>
    </row>
    <row r="11">
      <c r="A11" s="4" t="inlineStr">
        <is>
          <t>Avg 311 resolution days (closed)</t>
        </is>
      </c>
      <c r="B11" s="9" t="n">
        <v>10.79</v>
      </c>
    </row>
    <row r="12">
      <c r="A12" s="4" t="inlineStr">
        <is>
          <t>Avg 311 satisfaction (1-5)</t>
        </is>
      </c>
      <c r="B12" s="9" t="n">
        <v>3.63</v>
      </c>
    </row>
    <row r="13">
      <c r="A13" s="4" t="inlineStr">
        <is>
          <t>Cost per filled employee (payroll+OT)</t>
        </is>
      </c>
      <c r="B13" s="7" t="n">
        <v>60414</v>
      </c>
    </row>
    <row r="14">
      <c r="A14" s="4" t="inlineStr">
        <is>
          <t>311 backlog: open/in-progress &gt;30 days</t>
        </is>
      </c>
      <c r="B14" s="5" t="n">
        <v>58</v>
      </c>
    </row>
    <row r="15">
      <c r="A15" s="4" t="inlineStr">
        <is>
          <t>311 backlog: open/in-progress &gt;90 days</t>
        </is>
      </c>
      <c r="B15" s="5" t="n">
        <v>47</v>
      </c>
    </row>
    <row r="17">
      <c r="A17" s="3" t="inlineStr">
        <is>
          <t>2. Department Scorecard (red = trigger breached)</t>
        </is>
      </c>
    </row>
    <row r="18">
      <c r="A18" s="10" t="inlineStr">
        <is>
          <t>Department</t>
        </is>
      </c>
      <c r="B18" s="10" t="inlineStr">
        <is>
          <t>NYC Analog</t>
        </is>
      </c>
      <c r="C18" s="10" t="inlineStr">
        <is>
          <t>Authorized</t>
        </is>
      </c>
      <c r="D18" s="10" t="inlineStr">
        <is>
          <t>Filled</t>
        </is>
      </c>
      <c r="E18" s="10" t="inlineStr">
        <is>
          <t>Vacancies</t>
        </is>
      </c>
      <c r="F18" s="10" t="inlineStr">
        <is>
          <t>Vacancy %</t>
        </is>
      </c>
      <c r="G18" s="10" t="inlineStr">
        <is>
          <t>Payroll $</t>
        </is>
      </c>
      <c r="H18" s="10" t="inlineStr">
        <is>
          <t>OT Cost $</t>
        </is>
      </c>
      <c r="I18" s="10" t="inlineStr">
        <is>
          <t>OT % Reg Hrs</t>
        </is>
      </c>
      <c r="J18" s="10" t="inlineStr">
        <is>
          <t>OT $ / Filled</t>
        </is>
      </c>
      <c r="K18" s="10" t="inlineStr">
        <is>
          <t>311 Avg Res (days)</t>
        </is>
      </c>
      <c r="L18" s="10" t="inlineStr">
        <is>
          <t>311 Satisfaction</t>
        </is>
      </c>
      <c r="M18" s="10" t="inlineStr">
        <is>
          <t>Worst On-Time Process</t>
        </is>
      </c>
      <c r="N18" s="10" t="inlineStr">
        <is>
          <t>Worst On-Time %</t>
        </is>
      </c>
      <c r="O18" s="10" t="inlineStr">
        <is>
          <t>Procs &lt;65% On-Time</t>
        </is>
      </c>
      <c r="P18" s="10" t="inlineStr">
        <is>
          <t>Per-Emp Cost $</t>
        </is>
      </c>
      <c r="Q18" s="10" t="inlineStr">
        <is>
          <t>NYC PS per FTE $</t>
        </is>
      </c>
      <c r="R18" s="10" t="inlineStr">
        <is>
          <t>GF / NYC Ratio</t>
        </is>
      </c>
    </row>
    <row r="19">
      <c r="A19" s="11" t="inlineStr">
        <is>
          <t>Parks &amp; Recreation</t>
        </is>
      </c>
      <c r="B19" s="11" t="inlineStr">
        <is>
          <t>DPR (Parks &amp; Recreation)</t>
        </is>
      </c>
      <c r="C19" s="12" t="n">
        <v>116</v>
      </c>
      <c r="D19" s="12" t="n">
        <v>110</v>
      </c>
      <c r="E19" s="12" t="n">
        <v>6</v>
      </c>
      <c r="F19" s="13" t="n">
        <v>5.2</v>
      </c>
      <c r="G19" s="14" t="n">
        <v>4713500</v>
      </c>
      <c r="H19" s="15" t="n">
        <v>453960</v>
      </c>
      <c r="I19" s="16" t="n">
        <v>6.05</v>
      </c>
      <c r="J19" s="14" t="n">
        <v>4127</v>
      </c>
      <c r="K19" s="17" t="n">
        <v>12.5</v>
      </c>
      <c r="L19" s="17" t="n">
        <v>3.55</v>
      </c>
      <c r="M19" s="11" t="inlineStr">
        <is>
          <t>Tree Removal Request</t>
        </is>
      </c>
      <c r="N19" s="13" t="n">
        <v>62.4</v>
      </c>
      <c r="O19" s="12" t="n">
        <v>1</v>
      </c>
      <c r="P19" s="14" t="n">
        <v>46977</v>
      </c>
      <c r="Q19" s="14" t="n">
        <v>319273</v>
      </c>
      <c r="R19" s="18" t="n">
        <v>0.147</v>
      </c>
    </row>
    <row r="20">
      <c r="A20" s="11" t="inlineStr">
        <is>
          <t>Sanitation</t>
        </is>
      </c>
      <c r="B20" s="11" t="inlineStr">
        <is>
          <t>DSNY (Sanitation)</t>
        </is>
      </c>
      <c r="C20" s="12" t="n">
        <v>108</v>
      </c>
      <c r="D20" s="12" t="n">
        <v>101</v>
      </c>
      <c r="E20" s="12" t="n">
        <v>7</v>
      </c>
      <c r="F20" s="13" t="n">
        <v>6.5</v>
      </c>
      <c r="G20" s="14" t="n">
        <v>4290100</v>
      </c>
      <c r="H20" s="15" t="n">
        <v>646877</v>
      </c>
      <c r="I20" s="16" t="n">
        <v>9.789999999999999</v>
      </c>
      <c r="J20" s="14" t="n">
        <v>6405</v>
      </c>
      <c r="K20" s="17" t="n">
        <v>9</v>
      </c>
      <c r="L20" s="17" t="n">
        <v>3.64</v>
      </c>
      <c r="M20" s="11" t="inlineStr">
        <is>
          <t>Illegal Dumping Investigation</t>
        </is>
      </c>
      <c r="N20" s="13" t="n">
        <v>54.2</v>
      </c>
      <c r="O20" s="12" t="n">
        <v>2</v>
      </c>
      <c r="P20" s="14" t="n">
        <v>48881</v>
      </c>
      <c r="Q20" s="14" t="n">
        <v>333726</v>
      </c>
      <c r="R20" s="18" t="n">
        <v>0.146</v>
      </c>
    </row>
    <row r="21">
      <c r="A21" s="11" t="inlineStr">
        <is>
          <t>Transportation</t>
        </is>
      </c>
      <c r="B21" s="11" t="inlineStr">
        <is>
          <t>DOT (Transportation)</t>
        </is>
      </c>
      <c r="C21" s="12" t="n">
        <v>134</v>
      </c>
      <c r="D21" s="12" t="n">
        <v>114</v>
      </c>
      <c r="E21" s="12" t="n">
        <v>20</v>
      </c>
      <c r="F21" s="13" t="n">
        <v>14.9</v>
      </c>
      <c r="G21" s="14" t="n">
        <v>5545800</v>
      </c>
      <c r="H21" s="15" t="n">
        <v>642979.25</v>
      </c>
      <c r="I21" s="16" t="n">
        <v>8.359999999999999</v>
      </c>
      <c r="J21" s="14" t="n">
        <v>5640</v>
      </c>
      <c r="K21" s="17" t="n">
        <v>13.6</v>
      </c>
      <c r="L21" s="17" t="n">
        <v>3.36</v>
      </c>
      <c r="M21" s="11" t="inlineStr">
        <is>
          <t>Street Resurfacing Project</t>
        </is>
      </c>
      <c r="N21" s="13" t="n">
        <v>48.3</v>
      </c>
      <c r="O21" s="12" t="n">
        <v>3</v>
      </c>
      <c r="P21" s="14" t="n">
        <v>54288</v>
      </c>
      <c r="Q21" s="14" t="n">
        <v>355865</v>
      </c>
      <c r="R21" s="18" t="n">
        <v>0.153</v>
      </c>
    </row>
    <row r="22">
      <c r="A22" s="11" t="inlineStr">
        <is>
          <t>Health Services</t>
        </is>
      </c>
      <c r="B22" s="11" t="inlineStr">
        <is>
          <t>DOHMH (Health &amp; Mental Hygiene)</t>
        </is>
      </c>
      <c r="C22" s="12" t="n">
        <v>96</v>
      </c>
      <c r="D22" s="12" t="n">
        <v>80</v>
      </c>
      <c r="E22" s="12" t="n">
        <v>16</v>
      </c>
      <c r="F22" s="13" t="n">
        <v>16.7</v>
      </c>
      <c r="G22" s="14" t="n">
        <v>4835100</v>
      </c>
      <c r="H22" s="15" t="n">
        <v>525390</v>
      </c>
      <c r="I22" s="16" t="n">
        <v>7.13</v>
      </c>
      <c r="J22" s="14" t="n">
        <v>6567</v>
      </c>
      <c r="K22" s="17" t="n">
        <v>12</v>
      </c>
      <c r="L22" s="17" t="n">
        <v>3.72</v>
      </c>
      <c r="M22" s="11" t="inlineStr">
        <is>
          <t>Environmental Complaint Investigation</t>
        </is>
      </c>
      <c r="N22" s="13" t="n">
        <v>64.09999999999999</v>
      </c>
      <c r="O22" s="12" t="n">
        <v>1</v>
      </c>
      <c r="P22" s="14" t="n">
        <v>67006</v>
      </c>
      <c r="Q22" s="14" t="n">
        <v>346254</v>
      </c>
      <c r="R22" s="18" t="n">
        <v>0.194</v>
      </c>
    </row>
    <row r="23">
      <c r="A23" s="11" t="inlineStr">
        <is>
          <t>Fire Department</t>
        </is>
      </c>
      <c r="B23" s="11" t="inlineStr">
        <is>
          <t>FDNY (Fire)</t>
        </is>
      </c>
      <c r="C23" s="12" t="n">
        <v>142</v>
      </c>
      <c r="D23" s="12" t="n">
        <v>137</v>
      </c>
      <c r="E23" s="12" t="n">
        <v>5</v>
      </c>
      <c r="F23" s="13" t="n">
        <v>3.5</v>
      </c>
      <c r="G23" s="14" t="n">
        <v>9005400</v>
      </c>
      <c r="H23" s="15" t="n">
        <v>2085312</v>
      </c>
      <c r="I23" s="16" t="n">
        <v>14.57</v>
      </c>
      <c r="J23" s="14" t="n">
        <v>15221</v>
      </c>
      <c r="K23" s="17" t="n">
        <v>3.8</v>
      </c>
      <c r="L23" s="17" t="n">
        <v>4.23</v>
      </c>
      <c r="M23" s="11" t="inlineStr">
        <is>
          <t>Plan Review (New Construction)</t>
        </is>
      </c>
      <c r="N23" s="13" t="n">
        <v>59.6</v>
      </c>
      <c r="O23" s="12" t="n">
        <v>1</v>
      </c>
      <c r="P23" s="14" t="n">
        <v>80954</v>
      </c>
      <c r="Q23" s="14" t="n">
        <v>379774</v>
      </c>
      <c r="R23" s="18" t="n">
        <v>0.213</v>
      </c>
    </row>
    <row r="24">
      <c r="A24" s="19" t="inlineStr">
        <is>
          <t>Triggers: Health Services 16.7% and Transportation 14.9% vacancy (&gt;12%) -&gt; centralized hiring under Proposal B; Fire Department OT 14.57% (&gt;10%) -&gt; OT budget cap under Proposal B; 8 processes across departments fall below 65% on-time.</t>
        </is>
      </c>
    </row>
    <row r="26">
      <c r="A26" s="3" t="inlineStr">
        <is>
          <t>3. NYC Benchmark - Cost per Employee (FY2024)</t>
        </is>
      </c>
    </row>
    <row r="27">
      <c r="A27" s="10" t="inlineStr">
        <is>
          <t>Department</t>
        </is>
      </c>
      <c r="B27" s="10" t="inlineStr">
        <is>
          <t>NYC Analog</t>
        </is>
      </c>
      <c r="C27" s="10" t="inlineStr">
        <is>
          <t>NYC Headcount (Jan-24)</t>
        </is>
      </c>
      <c r="D27" s="10" t="inlineStr">
        <is>
          <t>NYC PS Budget $</t>
        </is>
      </c>
      <c r="E27" s="10" t="inlineStr">
        <is>
          <t>NYC PS per FTE $</t>
        </is>
      </c>
      <c r="F27" s="10" t="inlineStr">
        <is>
          <t>NYC Total Budget $</t>
        </is>
      </c>
      <c r="G27" s="10" t="inlineStr">
        <is>
          <t>NYC Total per FTE $</t>
        </is>
      </c>
      <c r="H27" s="10" t="inlineStr">
        <is>
          <t>Greenfield Per-Emp Cost $</t>
        </is>
      </c>
      <c r="I27" s="10" t="inlineStr">
        <is>
          <t>GF / NYC PS Ratio</t>
        </is>
      </c>
    </row>
    <row r="28">
      <c r="A28" s="11" t="inlineStr">
        <is>
          <t>Parks &amp; Recreation</t>
        </is>
      </c>
      <c r="B28" s="11" t="inlineStr">
        <is>
          <t>DPR (Parks &amp; Recreation)</t>
        </is>
      </c>
      <c r="C28" s="12" t="n">
        <v>4384</v>
      </c>
      <c r="D28" s="14" t="n">
        <v>1399694699</v>
      </c>
      <c r="E28" s="14" t="n">
        <v>319273</v>
      </c>
      <c r="F28" s="14" t="n">
        <v>1910111056</v>
      </c>
      <c r="G28" s="14" t="n">
        <v>435701</v>
      </c>
      <c r="H28" s="14" t="n">
        <v>46977</v>
      </c>
      <c r="I28" s="18" t="n">
        <v>0.147</v>
      </c>
    </row>
    <row r="29">
      <c r="A29" s="11" t="inlineStr">
        <is>
          <t>Sanitation</t>
        </is>
      </c>
      <c r="B29" s="11" t="inlineStr">
        <is>
          <t>DSNY (Sanitation)</t>
        </is>
      </c>
      <c r="C29" s="12" t="n">
        <v>10137</v>
      </c>
      <c r="D29" s="14" t="n">
        <v>3382983037</v>
      </c>
      <c r="E29" s="14" t="n">
        <v>333726</v>
      </c>
      <c r="F29" s="14" t="n">
        <v>5733247869</v>
      </c>
      <c r="G29" s="14" t="n">
        <v>565576</v>
      </c>
      <c r="H29" s="14" t="n">
        <v>48881</v>
      </c>
      <c r="I29" s="18" t="n">
        <v>0.146</v>
      </c>
    </row>
    <row r="30">
      <c r="A30" s="11" t="inlineStr">
        <is>
          <t>Transportation</t>
        </is>
      </c>
      <c r="B30" s="11" t="inlineStr">
        <is>
          <t>DOT (Transportation)</t>
        </is>
      </c>
      <c r="C30" s="12" t="n">
        <v>5117</v>
      </c>
      <c r="D30" s="14" t="n">
        <v>1820960028</v>
      </c>
      <c r="E30" s="14" t="n">
        <v>355865</v>
      </c>
      <c r="F30" s="14" t="n">
        <v>4370084205</v>
      </c>
      <c r="G30" s="14" t="n">
        <v>854032</v>
      </c>
      <c r="H30" s="14" t="n">
        <v>54288</v>
      </c>
      <c r="I30" s="18" t="n">
        <v>0.153</v>
      </c>
    </row>
    <row r="31">
      <c r="A31" s="11" t="inlineStr">
        <is>
          <t>Health Services</t>
        </is>
      </c>
      <c r="B31" s="11" t="inlineStr">
        <is>
          <t>DOHMH (Health &amp; Mental Hygiene)</t>
        </is>
      </c>
      <c r="C31" s="12" t="n">
        <v>5355</v>
      </c>
      <c r="D31" s="14" t="n">
        <v>1854192630</v>
      </c>
      <c r="E31" s="14" t="n">
        <v>346254</v>
      </c>
      <c r="F31" s="14" t="n">
        <v>8838855712</v>
      </c>
      <c r="G31" s="14" t="n">
        <v>1650580</v>
      </c>
      <c r="H31" s="14" t="n">
        <v>67006</v>
      </c>
      <c r="I31" s="18" t="n">
        <v>0.194</v>
      </c>
    </row>
    <row r="32">
      <c r="A32" s="11" t="inlineStr">
        <is>
          <t>Fire Department</t>
        </is>
      </c>
      <c r="B32" s="11" t="inlineStr">
        <is>
          <t>FDNY (Fire)</t>
        </is>
      </c>
      <c r="C32" s="12" t="n">
        <v>17016</v>
      </c>
      <c r="D32" s="14" t="n">
        <v>6462239915</v>
      </c>
      <c r="E32" s="14" t="n">
        <v>379774</v>
      </c>
      <c r="F32" s="14" t="n">
        <v>7481345274</v>
      </c>
      <c r="G32" s="14" t="n">
        <v>439665</v>
      </c>
      <c r="H32" s="14" t="n">
        <v>80954</v>
      </c>
      <c r="I32" s="18" t="n">
        <v>0.213</v>
      </c>
    </row>
    <row r="33">
      <c r="A33" s="19" t="inlineStr">
        <is>
          <t>Caution: NYC PS budgets include pension, fringe and NYC wage scales; the ratio is a relative sizing indicator only, not a claim that Greenfield under-spends. Ranking (FDNY highest, DPR lowest) mirrors Greenfield.</t>
        </is>
      </c>
    </row>
    <row r="35">
      <c r="A35" s="3" t="inlineStr">
        <is>
          <t>4. NYC MMR Service-Level Context (latest reported cycle, FY2026)</t>
        </is>
      </c>
    </row>
    <row r="36">
      <c r="A36" s="10" t="inlineStr">
        <is>
          <t>Indicator</t>
        </is>
      </c>
      <c r="B36" s="10" t="inlineStr">
        <is>
          <t>Agency</t>
        </is>
      </c>
      <c r="C36" s="10" t="inlineStr">
        <is>
          <t>Value</t>
        </is>
      </c>
      <c r="D36" s="10" t="inlineStr">
        <is>
          <t>Target</t>
        </is>
      </c>
      <c r="E36" s="10" t="inlineStr">
        <is>
          <t>Status</t>
        </is>
      </c>
    </row>
    <row r="37">
      <c r="A37" s="11" t="inlineStr">
        <is>
          <t>Potholes closed within 30 days (%)</t>
        </is>
      </c>
      <c r="B37" s="11" t="inlineStr">
        <is>
          <t>DOT</t>
        </is>
      </c>
      <c r="C37" s="11" t="inlineStr">
        <is>
          <t>100%</t>
        </is>
      </c>
      <c r="D37" s="11" t="inlineStr">
        <is>
          <t>98%</t>
        </is>
      </c>
      <c r="E37" s="11" t="inlineStr">
        <is>
          <t>Meets target</t>
        </is>
      </c>
    </row>
    <row r="38">
      <c r="A38" s="11" t="inlineStr">
        <is>
          <t>Structural fire response time (dispatch+travel)</t>
        </is>
      </c>
      <c r="B38" s="11" t="inlineStr">
        <is>
          <t>FDNY</t>
        </is>
      </c>
      <c r="C38" s="11" t="inlineStr">
        <is>
          <t>4:22 (4.37)</t>
        </is>
      </c>
      <c r="D38" s="11" t="inlineStr">
        <is>
          <t>4:08 (4.14)</t>
        </is>
      </c>
      <c r="E38" s="11" t="inlineStr">
        <is>
          <t>Misses target</t>
        </is>
      </c>
    </row>
    <row r="39">
      <c r="A39" s="11" t="inlineStr">
        <is>
          <t>Life-threatening EMS response time</t>
        </is>
      </c>
      <c r="B39" s="11" t="inlineStr">
        <is>
          <t>FDNY</t>
        </is>
      </c>
      <c r="C39" s="11" t="inlineStr">
        <is>
          <t>9:19 (9.32)</t>
        </is>
      </c>
      <c r="D39" s="11" t="inlineStr">
        <is>
          <t>6:33 (6.55)</t>
        </is>
      </c>
      <c r="E39" s="11" t="inlineStr">
        <is>
          <t>Misses target</t>
        </is>
      </c>
    </row>
    <row r="40">
      <c r="A40" s="11" t="inlineStr">
        <is>
          <t>Ambulance turnaround at hospitals</t>
        </is>
      </c>
      <c r="B40" s="11" t="inlineStr">
        <is>
          <t>FDNY</t>
        </is>
      </c>
      <c r="C40" s="11" t="inlineStr">
        <is>
          <t>40:02 (40.03)</t>
        </is>
      </c>
      <c r="D40" s="11" t="inlineStr">
        <is>
          <t>-</t>
        </is>
      </c>
      <c r="E40" s="11" t="inlineStr">
        <is>
          <t>Monitored</t>
        </is>
      </c>
    </row>
    <row r="41">
      <c r="A41" s="11" t="inlineStr">
        <is>
          <t>Birth certificate request response (days)</t>
        </is>
      </c>
      <c r="B41" s="11" t="inlineStr">
        <is>
          <t>DOHMH</t>
        </is>
      </c>
      <c r="C41" s="20" t="n">
        <v>2.6</v>
      </c>
      <c r="D41" s="20" t="n">
        <v>3</v>
      </c>
      <c r="E41" s="11" t="inlineStr">
        <is>
          <t>Meets target</t>
        </is>
      </c>
    </row>
    <row r="42">
      <c r="A42" s="11" t="inlineStr">
        <is>
          <t>Recreation center attendance (monthly visitors)</t>
        </is>
      </c>
      <c r="B42" s="11" t="inlineStr">
        <is>
          <t>DPR</t>
        </is>
      </c>
      <c r="C42" s="11" t="inlineStr">
        <is>
          <t>15,808</t>
        </is>
      </c>
      <c r="D42" s="11" t="inlineStr">
        <is>
          <t>-</t>
        </is>
      </c>
      <c r="E42" s="11" t="inlineStr">
        <is>
          <t>Context</t>
        </is>
      </c>
    </row>
    <row r="43">
      <c r="A43" s="19" t="inlineStr">
        <is>
          <t>MMR numeric convention: minutes with decimal seconds (4.37 = 4 min 22 sec). Even a best-in-class peer system misses some response-time targets - SLA slippage is a national pattern, not proof of local failure.</t>
        </is>
      </c>
    </row>
    <row r="45">
      <c r="A45" s="3" t="inlineStr">
        <is>
          <t>5. NYS Comptroller Report 2-2025 - Staffing &amp; Overtime Context</t>
        </is>
      </c>
    </row>
    <row r="46">
      <c r="A46" s="10" t="inlineStr">
        <is>
          <t>Finding</t>
        </is>
      </c>
      <c r="B46" s="10" t="inlineStr">
        <is>
          <t>Value</t>
        </is>
      </c>
      <c r="C46" s="10" t="inlineStr">
        <is>
          <t>Note</t>
        </is>
      </c>
    </row>
    <row r="47">
      <c r="A47" s="11" t="inlineStr">
        <is>
          <t>Citywide vacancy rate (Jan-2024)</t>
        </is>
      </c>
      <c r="B47" s="11" t="inlineStr">
        <is>
          <t>5.1%</t>
        </is>
      </c>
      <c r="C47" s="11" t="inlineStr">
        <is>
          <t>vs 8.4% peak Dec-2022; ~2.0% pre-pandemic</t>
        </is>
      </c>
    </row>
    <row r="48">
      <c r="A48" s="11" t="inlineStr">
        <is>
          <t>Vacancy rate excl. DOE/CUNY</t>
        </is>
      </c>
      <c r="B48" s="11" t="inlineStr">
        <is>
          <t>4.6%</t>
        </is>
      </c>
      <c r="C48" s="11" t="inlineStr">
        <is>
          <t>Enterprise agencies carry the structural gap</t>
        </is>
      </c>
    </row>
    <row r="49">
      <c r="A49" s="11" t="inlineStr">
        <is>
          <t>Transportation Services program vacancy</t>
        </is>
      </c>
      <c r="B49" s="11" t="inlineStr">
        <is>
          <t>6.7% -&gt; 10.0%</t>
        </is>
      </c>
      <c r="C49" s="11" t="inlineStr">
        <is>
          <t>Dec-2019 -&gt; Jan-2024</t>
        </is>
      </c>
    </row>
    <row r="50">
      <c r="A50" s="11" t="inlineStr">
        <is>
          <t>Health program vacancy</t>
        </is>
      </c>
      <c r="B50" s="11" t="inlineStr">
        <is>
          <t>8.6% -&gt; 9.3%</t>
        </is>
      </c>
      <c r="C50" s="11" t="inlineStr">
        <is>
          <t>Dec-2019 -&gt; Jan-2024</t>
        </is>
      </c>
    </row>
    <row r="51">
      <c r="A51" s="11" t="inlineStr">
        <is>
          <t>Parks &amp; Cultural program vacancy</t>
        </is>
      </c>
      <c r="B51" s="11" t="inlineStr">
        <is>
          <t>1.3% -&gt; 1.8%</t>
        </is>
      </c>
      <c r="C51" s="11" t="inlineStr">
        <is>
          <t>Dec-2019 -&gt; Jan-2024</t>
        </is>
      </c>
    </row>
    <row r="52">
      <c r="A52" s="11" t="inlineStr">
        <is>
          <t>Agency vacancies (Jan-2024)</t>
        </is>
      </c>
      <c r="B52" s="11" t="inlineStr">
        <is>
          <t>DOT 10.0% | DOHMH 9.3% | DPR 1.7%</t>
        </is>
      </c>
      <c r="C52" s="11" t="inlineStr">
        <is>
          <t>FDNY uniform 1.4%; DSNY ~0%</t>
        </is>
      </c>
    </row>
    <row r="53">
      <c r="A53" s="11" t="inlineStr">
        <is>
          <t>Citywide overtime spend</t>
        </is>
      </c>
      <c r="B53" s="11" t="inlineStr">
        <is>
          <t>$1.81B FY24 (vs $1.11B FY21)</t>
        </is>
      </c>
      <c r="C53" s="11" t="inlineStr">
        <is>
          <t>+63% over three years</t>
        </is>
      </c>
    </row>
    <row r="54">
      <c r="A54" s="11" t="inlineStr">
        <is>
          <t>OT as share of payroll</t>
        </is>
      </c>
      <c r="B54" s="11" t="inlineStr">
        <is>
          <t>10.8% FY24 (vs 7.0% FY21)</t>
        </is>
      </c>
      <c r="C54" s="11" t="inlineStr">
        <is>
          <t>Structural, not episodic</t>
        </is>
      </c>
    </row>
    <row r="55">
      <c r="A55" s="11" t="inlineStr">
        <is>
          <t>FDNY fire extinguishment OT share</t>
        </is>
      </c>
      <c r="B55" s="11" t="inlineStr">
        <is>
          <t>40.3% of OT ($323.4M)</t>
        </is>
      </c>
      <c r="C55" s="11" t="inlineStr">
        <is>
          <t>up from 28.9% - overtime substitutes for vacancies</t>
        </is>
      </c>
    </row>
    <row r="56">
      <c r="A56" s="11" t="inlineStr">
        <is>
          <t>DSNY building cleaning OT share</t>
        </is>
      </c>
      <c r="B56" s="11" t="inlineStr">
        <is>
          <t>33.6% (from 18.8%)</t>
        </is>
      </c>
      <c r="C56" s="11" t="inlineStr">
        <is>
          <t>Same pattern in sanitation</t>
        </is>
      </c>
    </row>
    <row r="57">
      <c r="A57" s="11" t="inlineStr">
        <is>
          <t>FDNY attrition vs pre-pandemic</t>
        </is>
      </c>
      <c r="B57" s="11" t="inlineStr">
        <is>
          <t>+52%</t>
        </is>
      </c>
      <c r="C57" s="11" t="inlineStr">
        <is>
          <t>Workforce feasibility constraint on mergers</t>
        </is>
      </c>
    </row>
    <row r="58">
      <c r="A58" s="11" t="inlineStr">
        <is>
          <t>DCAS civil-service exam turnaround</t>
        </is>
      </c>
      <c r="B58" s="11" t="inlineStr">
        <is>
          <t>318 -&gt; 219 -&gt; 169 days</t>
        </is>
      </c>
      <c r="C58" s="11" t="inlineStr">
        <is>
          <t>FY21 -&gt; FY23 -&gt; FY24; hiring is slow but improving</t>
        </is>
      </c>
    </row>
    <row r="60">
      <c r="A60" s="3" t="inlineStr">
        <is>
          <t>6. 311 Service Requests by Department (FY2024)</t>
        </is>
      </c>
    </row>
    <row r="61">
      <c r="A61" s="10" t="inlineStr">
        <is>
          <t>Department</t>
        </is>
      </c>
      <c r="B61" s="10" t="inlineStr">
        <is>
          <t>Total</t>
        </is>
      </c>
      <c r="C61" s="10" t="inlineStr">
        <is>
          <t>Closed</t>
        </is>
      </c>
      <c r="D61" s="10" t="inlineStr">
        <is>
          <t>Open</t>
        </is>
      </c>
      <c r="E61" s="10" t="inlineStr">
        <is>
          <t>In Progress</t>
        </is>
      </c>
      <c r="F61" s="10" t="inlineStr">
        <is>
          <t>Avg Resolution (days)</t>
        </is>
      </c>
      <c r="G61" s="10" t="inlineStr">
        <is>
          <t>Satisfaction (1-5)</t>
        </is>
      </c>
      <c r="H61" s="10" t="inlineStr">
        <is>
          <t>Backlog &gt;30d</t>
        </is>
      </c>
      <c r="I61" s="10" t="inlineStr">
        <is>
          <t>Backlog &gt;90d</t>
        </is>
      </c>
    </row>
    <row r="62">
      <c r="A62" s="11" t="inlineStr">
        <is>
          <t>Parks &amp; Recreation</t>
        </is>
      </c>
      <c r="B62" s="12" t="n">
        <v>99</v>
      </c>
      <c r="C62" s="12" t="n">
        <v>84</v>
      </c>
      <c r="D62" s="12" t="n">
        <v>5</v>
      </c>
      <c r="E62" s="12" t="n">
        <v>10</v>
      </c>
      <c r="F62" s="17" t="n">
        <v>12.5</v>
      </c>
      <c r="G62" s="17" t="n">
        <v>3.55</v>
      </c>
      <c r="H62" s="12" t="n">
        <v>14</v>
      </c>
      <c r="I62" s="12" t="n">
        <v>12</v>
      </c>
    </row>
    <row r="63">
      <c r="A63" s="11" t="inlineStr">
        <is>
          <t>Sanitation</t>
        </is>
      </c>
      <c r="B63" s="12" t="n">
        <v>148</v>
      </c>
      <c r="C63" s="12" t="n">
        <v>130</v>
      </c>
      <c r="D63" s="12" t="n">
        <v>7</v>
      </c>
      <c r="E63" s="12" t="n">
        <v>11</v>
      </c>
      <c r="F63" s="17" t="n">
        <v>9</v>
      </c>
      <c r="G63" s="17" t="n">
        <v>3.64</v>
      </c>
      <c r="H63" s="12" t="n">
        <v>17</v>
      </c>
      <c r="I63" s="12" t="n">
        <v>14</v>
      </c>
    </row>
    <row r="64">
      <c r="A64" s="11" t="inlineStr">
        <is>
          <t>Transportation</t>
        </is>
      </c>
      <c r="B64" s="12" t="n">
        <v>126</v>
      </c>
      <c r="C64" s="12" t="n">
        <v>112</v>
      </c>
      <c r="D64" s="12" t="n">
        <v>2</v>
      </c>
      <c r="E64" s="12" t="n">
        <v>12</v>
      </c>
      <c r="F64" s="17" t="n">
        <v>13.6</v>
      </c>
      <c r="G64" s="17" t="n">
        <v>3.36</v>
      </c>
      <c r="H64" s="12" t="n">
        <v>13</v>
      </c>
      <c r="I64" s="12" t="n">
        <v>11</v>
      </c>
    </row>
    <row r="65">
      <c r="A65" s="11" t="inlineStr">
        <is>
          <t>Health Services</t>
        </is>
      </c>
      <c r="B65" s="12" t="n">
        <v>75</v>
      </c>
      <c r="C65" s="12" t="n">
        <v>66</v>
      </c>
      <c r="D65" s="12" t="n">
        <v>3</v>
      </c>
      <c r="E65" s="12" t="n">
        <v>6</v>
      </c>
      <c r="F65" s="17" t="n">
        <v>12</v>
      </c>
      <c r="G65" s="17" t="n">
        <v>3.72</v>
      </c>
      <c r="H65" s="12" t="n">
        <v>8</v>
      </c>
      <c r="I65" s="12" t="n">
        <v>6</v>
      </c>
    </row>
    <row r="66">
      <c r="A66" s="11" t="inlineStr">
        <is>
          <t>Fire Department</t>
        </is>
      </c>
      <c r="B66" s="12" t="n">
        <v>52</v>
      </c>
      <c r="C66" s="12" t="n">
        <v>45</v>
      </c>
      <c r="D66" s="12" t="n">
        <v>4</v>
      </c>
      <c r="E66" s="12" t="n">
        <v>3</v>
      </c>
      <c r="F66" s="17" t="n">
        <v>3.8</v>
      </c>
      <c r="G66" s="17" t="n">
        <v>4.23</v>
      </c>
      <c r="H66" s="12" t="n">
        <v>6</v>
      </c>
      <c r="I66" s="12" t="n">
        <v>4</v>
      </c>
    </row>
    <row r="67">
      <c r="A67" s="19" t="inlineStr">
        <is>
          <t>Citywide: 500 requests, 63 open/in-progress, oldest 365 days. Correlation (dept vacancy vs resolution days) = 0.67; (vacancy vs satisfaction) = -0.52.</t>
        </is>
      </c>
    </row>
    <row r="69">
      <c r="A69" s="3" t="inlineStr">
        <is>
          <t>7. Underperforming Processes (on-time &lt; 65%)</t>
        </is>
      </c>
    </row>
    <row r="70">
      <c r="A70" s="10" t="inlineStr">
        <is>
          <t>Department</t>
        </is>
      </c>
      <c r="B70" s="10" t="inlineStr">
        <is>
          <t>Process</t>
        </is>
      </c>
      <c r="C70" s="10" t="inlineStr">
        <is>
          <t>Cycle (days)</t>
        </is>
      </c>
      <c r="D70" s="10" t="inlineStr">
        <is>
          <t>Target (days)</t>
        </is>
      </c>
      <c r="E70" s="10" t="inlineStr">
        <is>
          <t>On-Time %</t>
        </is>
      </c>
      <c r="F70" s="10" t="inlineStr">
        <is>
          <t>Volume/mo</t>
        </is>
      </c>
      <c r="G70" s="10" t="inlineStr">
        <is>
          <t>Error %</t>
        </is>
      </c>
      <c r="H70" s="10" t="inlineStr">
        <is>
          <t>Automation</t>
        </is>
      </c>
    </row>
    <row r="71">
      <c r="A71" s="11" t="inlineStr">
        <is>
          <t>Transportation</t>
        </is>
      </c>
      <c r="B71" s="11" t="inlineStr">
        <is>
          <t>Street Resurfacing Project</t>
        </is>
      </c>
      <c r="C71" s="17" t="n">
        <v>45.2</v>
      </c>
      <c r="D71" s="17" t="n">
        <v>30</v>
      </c>
      <c r="E71" s="13" t="n">
        <v>48.3</v>
      </c>
      <c r="F71" s="12" t="n">
        <v>6</v>
      </c>
      <c r="G71" s="13" t="n">
        <v>7.3</v>
      </c>
      <c r="H71" s="11" t="inlineStr">
        <is>
          <t>Manual</t>
        </is>
      </c>
    </row>
    <row r="72">
      <c r="A72" s="11" t="inlineStr">
        <is>
          <t>Sanitation</t>
        </is>
      </c>
      <c r="B72" s="11" t="inlineStr">
        <is>
          <t>Illegal Dumping Investigation</t>
        </is>
      </c>
      <c r="C72" s="17" t="n">
        <v>14.7</v>
      </c>
      <c r="D72" s="17" t="n">
        <v>10</v>
      </c>
      <c r="E72" s="13" t="n">
        <v>54.2</v>
      </c>
      <c r="F72" s="12" t="n">
        <v>38</v>
      </c>
      <c r="G72" s="13" t="n">
        <v>11.6</v>
      </c>
      <c r="H72" s="11" t="inlineStr">
        <is>
          <t>Manual</t>
        </is>
      </c>
    </row>
    <row r="73">
      <c r="A73" s="11" t="inlineStr">
        <is>
          <t>Transportation</t>
        </is>
      </c>
      <c r="B73" s="11" t="inlineStr">
        <is>
          <t>Transit Route Change Request</t>
        </is>
      </c>
      <c r="C73" s="17" t="n">
        <v>22.5</v>
      </c>
      <c r="D73" s="17" t="n">
        <v>15</v>
      </c>
      <c r="E73" s="13" t="n">
        <v>55.1</v>
      </c>
      <c r="F73" s="12" t="n">
        <v>12</v>
      </c>
      <c r="G73" s="13" t="n">
        <v>5.6</v>
      </c>
      <c r="H73" s="11" t="inlineStr">
        <is>
          <t>Manual</t>
        </is>
      </c>
    </row>
    <row r="74">
      <c r="A74" s="11" t="inlineStr">
        <is>
          <t>Sanitation</t>
        </is>
      </c>
      <c r="B74" s="11" t="inlineStr">
        <is>
          <t>Bulk Pickup Request</t>
        </is>
      </c>
      <c r="C74" s="17" t="n">
        <v>5.8</v>
      </c>
      <c r="D74" s="17" t="n">
        <v>3</v>
      </c>
      <c r="E74" s="13" t="n">
        <v>58.1</v>
      </c>
      <c r="F74" s="12" t="n">
        <v>310</v>
      </c>
      <c r="G74" s="13" t="n">
        <v>9.4</v>
      </c>
      <c r="H74" s="11" t="inlineStr">
        <is>
          <t>Manual</t>
        </is>
      </c>
    </row>
    <row r="75">
      <c r="A75" s="11" t="inlineStr">
        <is>
          <t>Fire Department</t>
        </is>
      </c>
      <c r="B75" s="11" t="inlineStr">
        <is>
          <t>Plan Review (New Construction)</t>
        </is>
      </c>
      <c r="C75" s="17" t="n">
        <v>14.8</v>
      </c>
      <c r="D75" s="17" t="n">
        <v>10</v>
      </c>
      <c r="E75" s="13" t="n">
        <v>59.6</v>
      </c>
      <c r="F75" s="12" t="n">
        <v>24</v>
      </c>
      <c r="G75" s="13" t="n">
        <v>6.4</v>
      </c>
      <c r="H75" s="11" t="inlineStr">
        <is>
          <t>Manual</t>
        </is>
      </c>
    </row>
    <row r="76">
      <c r="A76" s="11" t="inlineStr">
        <is>
          <t>Transportation</t>
        </is>
      </c>
      <c r="B76" s="11" t="inlineStr">
        <is>
          <t>Sidewalk Repair Request</t>
        </is>
      </c>
      <c r="C76" s="17" t="n">
        <v>28.4</v>
      </c>
      <c r="D76" s="17" t="n">
        <v>21</v>
      </c>
      <c r="E76" s="13" t="n">
        <v>61.7</v>
      </c>
      <c r="F76" s="12" t="n">
        <v>34</v>
      </c>
      <c r="G76" s="13" t="n">
        <v>3.9</v>
      </c>
      <c r="H76" s="11" t="inlineStr">
        <is>
          <t>Manual</t>
        </is>
      </c>
    </row>
    <row r="77">
      <c r="A77" s="11" t="inlineStr">
        <is>
          <t>Parks &amp; Recreation</t>
        </is>
      </c>
      <c r="B77" s="11" t="inlineStr">
        <is>
          <t>Tree Removal Request</t>
        </is>
      </c>
      <c r="C77" s="17" t="n">
        <v>18.6</v>
      </c>
      <c r="D77" s="17" t="n">
        <v>14</v>
      </c>
      <c r="E77" s="13" t="n">
        <v>62.4</v>
      </c>
      <c r="F77" s="12" t="n">
        <v>28</v>
      </c>
      <c r="G77" s="13" t="n">
        <v>2.5</v>
      </c>
      <c r="H77" s="11" t="inlineStr">
        <is>
          <t>Manual</t>
        </is>
      </c>
    </row>
    <row r="78">
      <c r="A78" s="11" t="inlineStr">
        <is>
          <t>Health Services</t>
        </is>
      </c>
      <c r="B78" s="11" t="inlineStr">
        <is>
          <t>Environmental Complaint Investigation</t>
        </is>
      </c>
      <c r="C78" s="17" t="n">
        <v>9.800000000000001</v>
      </c>
      <c r="D78" s="17" t="n">
        <v>7</v>
      </c>
      <c r="E78" s="13" t="n">
        <v>64.09999999999999</v>
      </c>
      <c r="F78" s="12" t="n">
        <v>52</v>
      </c>
      <c r="G78" s="13" t="n">
        <v>7.9</v>
      </c>
      <c r="H78" s="11" t="inlineStr">
        <is>
          <t>Manual</t>
        </is>
      </c>
    </row>
    <row r="80">
      <c r="A80" s="3" t="inlineStr">
        <is>
          <t>8. Monthly Overtime - % of Regular Hours (FY2024)</t>
        </is>
      </c>
    </row>
    <row r="81">
      <c r="A81" s="10" t="inlineStr">
        <is>
          <t>Month</t>
        </is>
      </c>
      <c r="B81" s="10" t="inlineStr">
        <is>
          <t>Parks &amp; Recreation</t>
        </is>
      </c>
      <c r="C81" s="10" t="inlineStr">
        <is>
          <t>Sanitation</t>
        </is>
      </c>
      <c r="D81" s="10" t="inlineStr">
        <is>
          <t>Transportation</t>
        </is>
      </c>
      <c r="E81" s="10" t="inlineStr">
        <is>
          <t>Health Services</t>
        </is>
      </c>
      <c r="F81" s="10" t="inlineStr">
        <is>
          <t>Fire Department</t>
        </is>
      </c>
    </row>
    <row r="82">
      <c r="A82" s="11" t="inlineStr">
        <is>
          <t>Jul-2023</t>
        </is>
      </c>
      <c r="B82" s="13" t="n">
        <v>8</v>
      </c>
      <c r="C82" s="13" t="n">
        <v>7.3</v>
      </c>
      <c r="D82" s="13" t="n">
        <v>7.4</v>
      </c>
      <c r="E82" s="13" t="n">
        <v>6.2</v>
      </c>
      <c r="F82" s="13" t="n">
        <v>14.2</v>
      </c>
    </row>
    <row r="83">
      <c r="A83" s="11" t="inlineStr">
        <is>
          <t>Aug-2023</t>
        </is>
      </c>
      <c r="B83" s="13" t="n">
        <v>9</v>
      </c>
      <c r="C83" s="13" t="n">
        <v>7.3</v>
      </c>
      <c r="D83" s="13" t="n">
        <v>7.3</v>
      </c>
      <c r="E83" s="13" t="n">
        <v>6.7</v>
      </c>
      <c r="F83" s="13" t="n">
        <v>13.5</v>
      </c>
    </row>
    <row r="84">
      <c r="A84" s="11" t="inlineStr">
        <is>
          <t>Sep-2023</t>
        </is>
      </c>
      <c r="B84" s="13" t="n">
        <v>7.1</v>
      </c>
      <c r="C84" s="13" t="n">
        <v>7.7</v>
      </c>
      <c r="D84" s="13" t="n">
        <v>7.4</v>
      </c>
      <c r="E84" s="13" t="n">
        <v>6.5</v>
      </c>
      <c r="F84" s="13" t="n">
        <v>14.2</v>
      </c>
    </row>
    <row r="85">
      <c r="A85" s="11" t="inlineStr">
        <is>
          <t>Oct-2023</t>
        </is>
      </c>
      <c r="B85" s="13" t="n">
        <v>5.6</v>
      </c>
      <c r="C85" s="13" t="n">
        <v>9.199999999999999</v>
      </c>
      <c r="D85" s="13" t="n">
        <v>8.1</v>
      </c>
      <c r="E85" s="13" t="n">
        <v>7.5</v>
      </c>
      <c r="F85" s="13" t="n">
        <v>14.9</v>
      </c>
    </row>
    <row r="86">
      <c r="A86" s="11" t="inlineStr">
        <is>
          <t>Nov-2023</t>
        </is>
      </c>
      <c r="B86" s="13" t="n">
        <v>4.2</v>
      </c>
      <c r="C86" s="13" t="n">
        <v>10</v>
      </c>
      <c r="D86" s="13" t="n">
        <v>8.4</v>
      </c>
      <c r="E86" s="13" t="n">
        <v>7.4</v>
      </c>
      <c r="F86" s="13" t="n">
        <v>15.1</v>
      </c>
    </row>
    <row r="87">
      <c r="A87" s="11" t="inlineStr">
        <is>
          <t>Dec-2023</t>
        </is>
      </c>
      <c r="B87" s="13" t="n">
        <v>4</v>
      </c>
      <c r="C87" s="13" t="n">
        <v>13.5</v>
      </c>
      <c r="D87" s="13" t="n">
        <v>10.2</v>
      </c>
      <c r="E87" s="13" t="n">
        <v>8.300000000000001</v>
      </c>
      <c r="F87" s="13" t="n">
        <v>15.8</v>
      </c>
    </row>
    <row r="88">
      <c r="A88" s="11" t="inlineStr">
        <is>
          <t>Jan-2024</t>
        </is>
      </c>
      <c r="B88" s="13" t="n">
        <v>4</v>
      </c>
      <c r="C88" s="13" t="n">
        <v>14.4</v>
      </c>
      <c r="D88" s="13" t="n">
        <v>10.9</v>
      </c>
      <c r="E88" s="13" t="n">
        <v>7.8</v>
      </c>
      <c r="F88" s="13" t="n">
        <v>14.8</v>
      </c>
    </row>
    <row r="89">
      <c r="A89" s="11" t="inlineStr">
        <is>
          <t>Feb-2024</t>
        </is>
      </c>
      <c r="B89" s="13" t="n">
        <v>4.5</v>
      </c>
      <c r="C89" s="13" t="n">
        <v>12.7</v>
      </c>
      <c r="D89" s="13" t="n">
        <v>9.4</v>
      </c>
      <c r="E89" s="13" t="n">
        <v>7.6</v>
      </c>
      <c r="F89" s="13" t="n">
        <v>14.1</v>
      </c>
    </row>
    <row r="90">
      <c r="A90" s="11" t="inlineStr">
        <is>
          <t>Mar-2024</t>
        </is>
      </c>
      <c r="B90" s="13" t="n">
        <v>4.6</v>
      </c>
      <c r="C90" s="13" t="n">
        <v>11.5</v>
      </c>
      <c r="D90" s="13" t="n">
        <v>8.4</v>
      </c>
      <c r="E90" s="13" t="n">
        <v>7.4</v>
      </c>
      <c r="F90" s="13" t="n">
        <v>13</v>
      </c>
    </row>
    <row r="91">
      <c r="A91" s="11" t="inlineStr">
        <is>
          <t>Apr-2024</t>
        </is>
      </c>
      <c r="B91" s="13" t="n">
        <v>6.1</v>
      </c>
      <c r="C91" s="13" t="n">
        <v>8.9</v>
      </c>
      <c r="D91" s="13" t="n">
        <v>7.8</v>
      </c>
      <c r="E91" s="13" t="n">
        <v>7</v>
      </c>
      <c r="F91" s="13" t="n">
        <v>14.8</v>
      </c>
    </row>
    <row r="92">
      <c r="A92" s="11" t="inlineStr">
        <is>
          <t>May-2024</t>
        </is>
      </c>
      <c r="B92" s="13" t="n">
        <v>7.5</v>
      </c>
      <c r="C92" s="13" t="n">
        <v>8.1</v>
      </c>
      <c r="D92" s="13" t="n">
        <v>7.8</v>
      </c>
      <c r="E92" s="13" t="n">
        <v>6.6</v>
      </c>
      <c r="F92" s="13" t="n">
        <v>15.8</v>
      </c>
    </row>
    <row r="93">
      <c r="A93" s="11" t="inlineStr">
        <is>
          <t>Jun-2024</t>
        </is>
      </c>
      <c r="B93" s="13" t="n">
        <v>8.1</v>
      </c>
      <c r="C93" s="13" t="n">
        <v>6.8</v>
      </c>
      <c r="D93" s="13" t="n">
        <v>7.2</v>
      </c>
      <c r="E93" s="13" t="n">
        <v>6.4</v>
      </c>
      <c r="F93" s="13" t="n">
        <v>14.5</v>
      </c>
    </row>
    <row r="94">
      <c r="A94" s="19" t="inlineStr">
        <is>
          <t>Fire Department exceeds the 10% threshold in all 12 months (FY avg 14.57%) - only department triggering the Proposal B OT cap. Sanitation averages 9.79% with 5 months above 10% - watch list.</t>
        </is>
      </c>
    </row>
  </sheetData>
  <mergeCells count="5">
    <mergeCell ref="A33:I33"/>
    <mergeCell ref="A43:E43"/>
    <mergeCell ref="A24:H24"/>
    <mergeCell ref="A94:I94"/>
    <mergeCell ref="A67:I67"/>
  </mergeCells>
  <conditionalFormatting sqref="F19:F23">
    <cfRule type="expression" priority="1" dxfId="0">
      <formula>F19&gt;12</formula>
    </cfRule>
  </conditionalFormatting>
  <conditionalFormatting sqref="I19:I23">
    <cfRule type="expression" priority="2" dxfId="0">
      <formula>I19&gt;10</formula>
    </cfRule>
  </conditionalFormatting>
  <conditionalFormatting sqref="N19:N23">
    <cfRule type="expression" priority="3" dxfId="0">
      <formula>N19&lt;65</formula>
    </cfRule>
  </conditionalFormatting>
  <conditionalFormatting sqref="O19:O23">
    <cfRule type="expression" priority="4" dxfId="0">
      <formula>O19&gt;0</formula>
    </cfRule>
  </conditionalFormatting>
  <conditionalFormatting sqref="E71:E78">
    <cfRule type="expression" priority="5" dxfId="0">
      <formula>E71&lt;65</formula>
    </cfRule>
  </conditionalFormatting>
  <conditionalFormatting sqref="B82:F93">
    <cfRule type="expression" priority="6" dxfId="0">
      <formula>B82&gt;10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Proposal A - "Consolidate": Merge into Three Departments</t>
        </is>
      </c>
    </row>
    <row r="2">
      <c r="A2" s="2" t="inlineStr">
        <is>
          <t>Health Services + Parks &amp; Recreation -&gt; Community Wellness | Transportation + Sanitation -&gt; Public Works | Fire standalone. All dollar figures FY2024 baseline; assumptions listed at bottom.</t>
        </is>
      </c>
    </row>
    <row r="4">
      <c r="A4" s="3" t="inlineStr">
        <is>
          <t>1. Merged Structure (headcount)</t>
        </is>
      </c>
    </row>
    <row r="5">
      <c r="A5" s="10" t="inlineStr">
        <is>
          <t>Merged entity</t>
        </is>
      </c>
      <c r="B5" s="10" t="inlineStr">
        <is>
          <t>Authorized</t>
        </is>
      </c>
      <c r="C5" s="10" t="inlineStr">
        <is>
          <t>Filled</t>
        </is>
      </c>
      <c r="D5" s="10" t="inlineStr">
        <is>
          <t>Vacancies</t>
        </is>
      </c>
      <c r="E5" s="10" t="inlineStr">
        <is>
          <t>Vacancy %</t>
        </is>
      </c>
    </row>
    <row r="6">
      <c r="A6" s="11" t="inlineStr">
        <is>
          <t>Community Wellness (Health + Parks)</t>
        </is>
      </c>
      <c r="B6" s="12" t="n">
        <v>212</v>
      </c>
      <c r="C6" s="12" t="n">
        <v>190</v>
      </c>
      <c r="D6" s="12" t="n">
        <v>22</v>
      </c>
      <c r="E6" s="13" t="n">
        <v>10.4</v>
      </c>
    </row>
    <row r="7">
      <c r="A7" s="11" t="inlineStr">
        <is>
          <t>Public Works (Transportation + Sanitation)</t>
        </is>
      </c>
      <c r="B7" s="12" t="n">
        <v>242</v>
      </c>
      <c r="C7" s="12" t="n">
        <v>215</v>
      </c>
      <c r="D7" s="12" t="n">
        <v>27</v>
      </c>
      <c r="E7" s="13" t="n">
        <v>11.2</v>
      </c>
    </row>
    <row r="8">
      <c r="A8" s="11" t="inlineStr">
        <is>
          <t>Fire (standalone)</t>
        </is>
      </c>
      <c r="B8" s="12" t="n">
        <v>142</v>
      </c>
      <c r="C8" s="12" t="n">
        <v>137</v>
      </c>
      <c r="D8" s="12" t="n">
        <v>5</v>
      </c>
      <c r="E8" s="13" t="n">
        <v>3.5</v>
      </c>
    </row>
    <row r="10">
      <c r="A10" s="3" t="inlineStr">
        <is>
          <t>2. Overtime Consolidation Savings</t>
        </is>
      </c>
    </row>
    <row r="11">
      <c r="A11" s="10" t="inlineStr">
        <is>
          <t>Entity</t>
        </is>
      </c>
      <c r="B11" s="10" t="inlineStr">
        <is>
          <t>FY2024 OT cost base $</t>
        </is>
      </c>
      <c r="C11" s="10" t="inlineStr">
        <is>
          <t>Assumed reduction %</t>
        </is>
      </c>
      <c r="D11" s="10" t="inlineStr">
        <is>
          <t>Annual OT savings $</t>
        </is>
      </c>
    </row>
    <row r="12">
      <c r="A12" s="11" t="inlineStr">
        <is>
          <t>Community Wellness (Health + Parks)</t>
        </is>
      </c>
      <c r="B12" s="15" t="n">
        <v>979350</v>
      </c>
      <c r="C12" s="21" t="n">
        <v>10</v>
      </c>
      <c r="D12" s="15" t="n">
        <v>97935</v>
      </c>
    </row>
    <row r="13">
      <c r="A13" s="11" t="inlineStr">
        <is>
          <t>Public Works (Transportation + Sanitation)</t>
        </is>
      </c>
      <c r="B13" s="15" t="n">
        <v>1289856.25</v>
      </c>
      <c r="C13" s="21" t="n">
        <v>20</v>
      </c>
      <c r="D13" s="15" t="n">
        <v>257971.25</v>
      </c>
    </row>
    <row r="14">
      <c r="A14" s="11" t="inlineStr">
        <is>
          <t>Fire Department (standalone - unchanged)</t>
        </is>
      </c>
      <c r="B14" s="15" t="n">
        <v>2085312</v>
      </c>
      <c r="C14" s="21" t="n">
        <v>0</v>
      </c>
      <c r="D14" s="15" t="n">
        <v>0</v>
      </c>
    </row>
    <row r="15">
      <c r="A15" s="22" t="inlineStr">
        <is>
          <t>Total annual OT savings</t>
        </is>
      </c>
      <c r="B15" s="23" t="n">
        <v>355906.25</v>
      </c>
    </row>
    <row r="17">
      <c r="A17" s="3" t="inlineStr">
        <is>
          <t>3. Administrative Consolidation (attrition only - no layoffs)</t>
        </is>
      </c>
    </row>
    <row r="18">
      <c r="A18" s="4" t="inlineStr">
        <is>
          <t>Admin positions eliminated (2.0% of merged authorized)</t>
        </is>
      </c>
      <c r="B18" s="5" t="n">
        <v>9</v>
      </c>
    </row>
    <row r="19">
      <c r="A19" s="4" t="inlineStr">
        <is>
          <t>Average salary of merged departments</t>
        </is>
      </c>
      <c r="B19" s="7" t="n">
        <v>48002</v>
      </c>
    </row>
    <row r="20">
      <c r="A20" s="4" t="inlineStr">
        <is>
          <t>Loaded cost per position (salary x 1.35 fringe/load)</t>
        </is>
      </c>
      <c r="B20" s="7" t="n">
        <v>64803</v>
      </c>
    </row>
    <row r="21">
      <c r="A21" s="22" t="inlineStr">
        <is>
          <t>Annual savings</t>
        </is>
      </c>
      <c r="B21" s="23" t="n">
        <v>583225.28</v>
      </c>
    </row>
    <row r="23">
      <c r="A23" s="3" t="inlineStr">
        <is>
          <t>4. Shared Fleet &amp; Procurement (OTPS)</t>
        </is>
      </c>
    </row>
    <row r="24">
      <c r="A24" s="22" t="inlineStr">
        <is>
          <t>Fleet maintenance, fuel and bulk-contract savings (assumption)</t>
        </is>
      </c>
      <c r="B24" s="24" t="n">
        <v>150000</v>
      </c>
    </row>
    <row r="26">
      <c r="A26" s="3" t="inlineStr">
        <is>
          <t>5. One-Time Transition Costs</t>
        </is>
      </c>
    </row>
    <row r="27">
      <c r="A27" s="10" t="inlineStr">
        <is>
          <t>Component (assumption)</t>
        </is>
      </c>
      <c r="B27" s="10" t="inlineStr">
        <is>
          <t>Cost $</t>
        </is>
      </c>
    </row>
    <row r="28">
      <c r="A28" s="11" t="inlineStr">
        <is>
          <t>Labor relations / MOU renegotiation</t>
        </is>
      </c>
      <c r="B28" s="14" t="n">
        <v>250000</v>
      </c>
    </row>
    <row r="29">
      <c r="A29" s="11" t="inlineStr">
        <is>
          <t>HRIS &amp; payroll system integration</t>
        </is>
      </c>
      <c r="B29" s="14" t="n">
        <v>300000</v>
      </c>
    </row>
    <row r="30">
      <c r="A30" s="11" t="inlineStr">
        <is>
          <t>Fleet re-branding, decals, radio/logistics</t>
        </is>
      </c>
      <c r="B30" s="14" t="n">
        <v>120000</v>
      </c>
    </row>
    <row r="31">
      <c r="A31" s="11" t="inlineStr">
        <is>
          <t>Transition team &amp; cross-training</t>
        </is>
      </c>
      <c r="B31" s="14" t="n">
        <v>80000</v>
      </c>
    </row>
    <row r="32">
      <c r="A32" s="22" t="inlineStr">
        <is>
          <t>Total one-time cost</t>
        </is>
      </c>
      <c r="B32" s="24" t="n">
        <v>750000</v>
      </c>
    </row>
    <row r="34">
      <c r="A34" s="3" t="inlineStr">
        <is>
          <t>6. Cash Flow (savings realization: 50% Y1, 100% Y2-Y3)</t>
        </is>
      </c>
    </row>
    <row r="35">
      <c r="A35" s="10" t="inlineStr">
        <is>
          <t>Year</t>
        </is>
      </c>
      <c r="B35" s="10" t="inlineStr">
        <is>
          <t>Gross savings $</t>
        </is>
      </c>
      <c r="C35" s="10" t="inlineStr">
        <is>
          <t>One-time cost $</t>
        </is>
      </c>
      <c r="D35" s="10" t="inlineStr">
        <is>
          <t>Net $</t>
        </is>
      </c>
      <c r="E35" s="10" t="inlineStr">
        <is>
          <t>Cumulative net $</t>
        </is>
      </c>
    </row>
    <row r="36">
      <c r="A36" s="11" t="inlineStr">
        <is>
          <t>Year 1</t>
        </is>
      </c>
      <c r="B36" s="15" t="n">
        <v>544565.765</v>
      </c>
      <c r="C36" s="15" t="n">
        <v>750000</v>
      </c>
      <c r="D36" s="15" t="n">
        <v>-205434.24</v>
      </c>
      <c r="E36" s="15" t="n">
        <v>-205434.24</v>
      </c>
    </row>
    <row r="37">
      <c r="A37" s="11" t="inlineStr">
        <is>
          <t>Year 2</t>
        </is>
      </c>
      <c r="B37" s="15" t="n">
        <v>1089131.53</v>
      </c>
      <c r="C37" s="15" t="n">
        <v>0</v>
      </c>
      <c r="D37" s="15" t="n">
        <v>1089131.53</v>
      </c>
      <c r="E37" s="15" t="n">
        <v>883697.29</v>
      </c>
    </row>
    <row r="38">
      <c r="A38" s="11" t="inlineStr">
        <is>
          <t>Year 3</t>
        </is>
      </c>
      <c r="B38" s="15" t="n">
        <v>1089131.53</v>
      </c>
      <c r="C38" s="15" t="n">
        <v>0</v>
      </c>
      <c r="D38" s="15" t="n">
        <v>1089131.53</v>
      </c>
      <c r="E38" s="15" t="n">
        <v>1972828.82</v>
      </c>
    </row>
    <row r="39">
      <c r="A39" s="22" t="inlineStr">
        <is>
          <t>Steady-state annual savings</t>
        </is>
      </c>
      <c r="B39" s="23" t="n">
        <v>1089131.53</v>
      </c>
    </row>
    <row r="40">
      <c r="A40" s="22" t="inlineStr">
        <is>
          <t>3-year cumulative net</t>
        </is>
      </c>
      <c r="B40" s="23" t="n">
        <v>1972828.82</v>
      </c>
    </row>
    <row r="41">
      <c r="A41" s="22" t="inlineStr">
        <is>
          <t>3-year average annual net</t>
        </is>
      </c>
      <c r="B41" s="23" t="n">
        <v>657609.61</v>
      </c>
    </row>
    <row r="43">
      <c r="A43" s="3" t="inlineStr">
        <is>
          <t>7. Service-Level Projections (shared crews, merged dispatch &amp; routing)</t>
        </is>
      </c>
    </row>
    <row r="44">
      <c r="A44" s="10" t="inlineStr">
        <is>
          <t>Process</t>
        </is>
      </c>
      <c r="B44" s="10" t="inlineStr">
        <is>
          <t>Baseline on-time %</t>
        </is>
      </c>
      <c r="C44" s="10" t="inlineStr">
        <is>
          <t>Projected on-time %</t>
        </is>
      </c>
      <c r="D44" s="10" t="inlineStr">
        <is>
          <t>Baseline cycle (days)</t>
        </is>
      </c>
      <c r="E44" s="10" t="inlineStr">
        <is>
          <t>Projected cycle (days)</t>
        </is>
      </c>
    </row>
    <row r="45">
      <c r="A45" s="11" t="inlineStr">
        <is>
          <t>Street Resurfacing Project</t>
        </is>
      </c>
      <c r="B45" s="13" t="n">
        <v>48.3</v>
      </c>
      <c r="C45" s="13" t="n">
        <v>56</v>
      </c>
      <c r="D45" s="17" t="n">
        <v>45.2</v>
      </c>
      <c r="E45" s="17" t="n">
        <v>39</v>
      </c>
    </row>
    <row r="46">
      <c r="A46" s="11" t="inlineStr">
        <is>
          <t>Sidewalk Repair Request</t>
        </is>
      </c>
      <c r="B46" s="13" t="n">
        <v>61.7</v>
      </c>
      <c r="C46" s="13" t="n">
        <v>68</v>
      </c>
      <c r="D46" s="17" t="n">
        <v>28.4</v>
      </c>
      <c r="E46" s="17" t="n">
        <v>24</v>
      </c>
    </row>
    <row r="47">
      <c r="A47" s="11" t="inlineStr">
        <is>
          <t>Transit Route Change Request</t>
        </is>
      </c>
      <c r="B47" s="13" t="n">
        <v>55.1</v>
      </c>
      <c r="C47" s="13" t="n">
        <v>63</v>
      </c>
      <c r="D47" s="17" t="n">
        <v>22.5</v>
      </c>
      <c r="E47" s="17" t="n">
        <v>19</v>
      </c>
    </row>
    <row r="48">
      <c r="A48" s="11" t="inlineStr">
        <is>
          <t>Bulk Pickup Request</t>
        </is>
      </c>
      <c r="B48" s="13" t="n">
        <v>58.1</v>
      </c>
      <c r="C48" s="13" t="n">
        <v>66</v>
      </c>
      <c r="D48" s="17" t="n">
        <v>5.8</v>
      </c>
      <c r="E48" s="17" t="n">
        <v>4.7</v>
      </c>
    </row>
    <row r="49">
      <c r="A49" s="11" t="inlineStr">
        <is>
          <t>Illegal Dumping Investigation</t>
        </is>
      </c>
      <c r="B49" s="13" t="n">
        <v>54.2</v>
      </c>
      <c r="C49" s="13" t="n">
        <v>60</v>
      </c>
      <c r="D49" s="17" t="n">
        <v>14.7</v>
      </c>
      <c r="E49" s="17" t="n">
        <v>12</v>
      </c>
    </row>
    <row r="50">
      <c r="A50" s="11" t="inlineStr">
        <is>
          <t>Tree Removal Request</t>
        </is>
      </c>
      <c r="B50" s="13" t="n">
        <v>62.4</v>
      </c>
      <c r="C50" s="13" t="n">
        <v>69</v>
      </c>
      <c r="D50" s="17" t="n">
        <v>18.6</v>
      </c>
      <c r="E50" s="17" t="n">
        <v>15.5</v>
      </c>
    </row>
    <row r="51">
      <c r="A51" s="11" t="inlineStr">
        <is>
          <t>Environmental Complaint Investigation</t>
        </is>
      </c>
      <c r="B51" s="13" t="n">
        <v>64.09999999999999</v>
      </c>
      <c r="C51" s="13" t="n">
        <v>70</v>
      </c>
      <c r="D51" s="17" t="n">
        <v>9.800000000000001</v>
      </c>
      <c r="E51" s="17" t="n">
        <v>8.4</v>
      </c>
    </row>
    <row r="52">
      <c r="A52" s="11" t="inlineStr">
        <is>
          <t>Playground Equipment Inspection</t>
        </is>
      </c>
      <c r="B52" s="13" t="n">
        <v>78.2</v>
      </c>
      <c r="C52" s="13" t="n">
        <v>80</v>
      </c>
      <c r="D52" s="17" t="n">
        <v>8.5</v>
      </c>
      <c r="E52" s="17" t="n">
        <v>7.8</v>
      </c>
    </row>
    <row r="53">
      <c r="A53" s="22" t="inlineStr">
        <is>
          <t>Average on-time gain (pp)</t>
        </is>
      </c>
      <c r="B53" s="25" t="n">
        <v>6.2</v>
      </c>
    </row>
    <row r="54">
      <c r="A54" s="4" t="inlineStr">
        <is>
          <t>Processes reaching &gt;=65% on-time</t>
        </is>
      </c>
      <c r="B54" s="5" t="n">
        <v>5</v>
      </c>
    </row>
    <row r="56">
      <c r="A56" s="3" t="inlineStr">
        <is>
          <t>8. Workforce &amp; Implementation Profile</t>
        </is>
      </c>
    </row>
    <row r="57">
      <c r="A57" s="4" t="inlineStr">
        <is>
          <t>FTEs reallocated</t>
        </is>
      </c>
      <c r="B57" s="5" t="n">
        <v>24</v>
      </c>
    </row>
    <row r="58">
      <c r="A58" s="4" t="inlineStr">
        <is>
          <t xml:space="preserve">  of which eliminated via attrition</t>
        </is>
      </c>
      <c r="B58" s="5" t="n">
        <v>9</v>
      </c>
    </row>
    <row r="59">
      <c r="A59" s="4" t="inlineStr">
        <is>
          <t>Timeline to full implementation (months)</t>
        </is>
      </c>
      <c r="B59" s="5" t="n">
        <v>24</v>
      </c>
    </row>
    <row r="60">
      <c r="A60" s="4" t="inlineStr">
        <is>
          <t>Complexity (1-5, 5 worst)</t>
        </is>
      </c>
      <c r="B60" s="5" t="n">
        <v>4</v>
      </c>
    </row>
    <row r="61">
      <c r="A61" s="4" t="inlineStr">
        <is>
          <t>Risk (1-5, 5 worst)</t>
        </is>
      </c>
      <c r="B61" s="5" t="n">
        <v>4</v>
      </c>
    </row>
    <row r="63">
      <c r="A63" s="3" t="inlineStr">
        <is>
          <t>9. Assumptions Register</t>
        </is>
      </c>
    </row>
    <row r="64">
      <c r="A64" s="19" t="inlineStr">
        <is>
          <t>A1. OT reduction: Public Works 20% (shared routing, joint crews, combined bulk contracts); Community Wellness 10% (shared inspection scheduling, back-office). Applied to FY2024 OT cost bases.</t>
        </is>
      </c>
    </row>
    <row r="65">
      <c r="A65" s="19" t="inlineStr">
        <is>
          <t>A2. Admin elimination = 2.0% of merged authorized positions (9 FTE), realized through attrition only; no layoffs.</t>
        </is>
      </c>
    </row>
    <row r="66">
      <c r="A66" s="19" t="inlineStr">
        <is>
          <t>A3. Fringe/load factor 1.35x salary on eliminated positions.</t>
        </is>
      </c>
    </row>
    <row r="67">
      <c r="A67" s="19" t="inlineStr">
        <is>
          <t>A4. Shared-fleet OTPS savings $150,000/yr (common maintenance bays, bulk fuel/parts contracts, pooled spares) - planning estimate pending procurement analysis.</t>
        </is>
      </c>
    </row>
    <row r="68">
      <c r="A68" s="19" t="inlineStr">
        <is>
          <t>A5. One-time transition $750,000 as itemized in section 5.</t>
        </is>
      </c>
    </row>
    <row r="69">
      <c r="A69" s="19" t="inlineStr">
        <is>
          <t>A6. Savings realization 50% in Year 1 (transition year), 100% thereafter.</t>
        </is>
      </c>
    </row>
    <row r="70">
      <c r="A70" s="19" t="inlineStr">
        <is>
          <t>A7. Fire Department excluded from merger; its OT cost is unchanged under Proposal A.</t>
        </is>
      </c>
    </row>
    <row r="71">
      <c r="A71" s="19" t="inlineStr">
        <is>
          <t>A8. Service projections assume merged dispatch and crew flexibility lift on-time % as tabled; cycle-time reductions proportional.</t>
        </is>
      </c>
    </row>
  </sheetData>
  <mergeCells count="8">
    <mergeCell ref="A71:F71"/>
    <mergeCell ref="A68:F68"/>
    <mergeCell ref="A66:F66"/>
    <mergeCell ref="A70:F70"/>
    <mergeCell ref="A67:F67"/>
    <mergeCell ref="A69:F69"/>
    <mergeCell ref="A64:F64"/>
    <mergeCell ref="A65:F65"/>
  </mergeCells>
  <conditionalFormatting sqref="B45:B52">
    <cfRule type="expression" priority="1" dxfId="0">
      <formula>B45&lt;65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40" customWidth="1" min="3" max="3"/>
    <col width="44" customWidth="1" min="4" max="4"/>
  </cols>
  <sheetData>
    <row r="1">
      <c r="A1" s="1" t="inlineStr">
        <is>
          <t>Proposal B - "Targeted Fix": Keep Five Departments, Fix Triggers</t>
        </is>
      </c>
    </row>
    <row r="2">
      <c r="A2" s="2" t="inlineStr">
        <is>
          <t>Three interventions, each activated by an objective trigger. No mergers; department boundaries and CBAs unchanged.</t>
        </is>
      </c>
    </row>
    <row r="4">
      <c r="A4" s="3" t="inlineStr">
        <is>
          <t>1. Trigger Identification</t>
        </is>
      </c>
    </row>
    <row r="5">
      <c r="A5" s="10" t="inlineStr">
        <is>
          <t>Department</t>
        </is>
      </c>
      <c r="B5" s="10" t="inlineStr">
        <is>
          <t>OT % of regular hrs</t>
        </is>
      </c>
      <c r="C5" s="10" t="inlineStr">
        <is>
          <t>Months &gt;10%</t>
        </is>
      </c>
      <c r="D5" s="10" t="inlineStr">
        <is>
          <t>OT intervention</t>
        </is>
      </c>
      <c r="E5" s="10" t="inlineStr">
        <is>
          <t>Vacancy %</t>
        </is>
      </c>
      <c r="F5" s="10" t="inlineStr">
        <is>
          <t>Hiring intervention</t>
        </is>
      </c>
    </row>
    <row r="6">
      <c r="A6" s="11" t="inlineStr">
        <is>
          <t>Parks &amp; Recreation</t>
        </is>
      </c>
      <c r="B6" s="16" t="n">
        <v>6.05</v>
      </c>
      <c r="C6" s="12" t="n">
        <v>0</v>
      </c>
      <c r="D6" s="11" t="inlineStr">
        <is>
          <t>No action</t>
        </is>
      </c>
      <c r="E6" s="13" t="n">
        <v>5.2</v>
      </c>
      <c r="F6" s="11" t="inlineStr">
        <is>
          <t>-</t>
        </is>
      </c>
    </row>
    <row r="7">
      <c r="A7" s="11" t="inlineStr">
        <is>
          <t>Sanitation</t>
        </is>
      </c>
      <c r="B7" s="16" t="n">
        <v>9.789999999999999</v>
      </c>
      <c r="C7" s="12" t="n">
        <v>5</v>
      </c>
      <c r="D7" s="11" t="inlineStr">
        <is>
          <t>Watch list</t>
        </is>
      </c>
      <c r="E7" s="13" t="n">
        <v>6.5</v>
      </c>
      <c r="F7" s="11" t="inlineStr">
        <is>
          <t>-</t>
        </is>
      </c>
    </row>
    <row r="8">
      <c r="A8" s="11" t="inlineStr">
        <is>
          <t>Transportation</t>
        </is>
      </c>
      <c r="B8" s="16" t="n">
        <v>8.359999999999999</v>
      </c>
      <c r="C8" s="12" t="n">
        <v>2</v>
      </c>
      <c r="D8" s="11" t="inlineStr">
        <is>
          <t>No action</t>
        </is>
      </c>
      <c r="E8" s="13" t="n">
        <v>14.9</v>
      </c>
      <c r="F8" s="11" t="inlineStr">
        <is>
          <t>Centralized hiring</t>
        </is>
      </c>
    </row>
    <row r="9">
      <c r="A9" s="11" t="inlineStr">
        <is>
          <t>Health Services</t>
        </is>
      </c>
      <c r="B9" s="16" t="n">
        <v>7.13</v>
      </c>
      <c r="C9" s="12" t="n">
        <v>0</v>
      </c>
      <c r="D9" s="11" t="inlineStr">
        <is>
          <t>No action</t>
        </is>
      </c>
      <c r="E9" s="13" t="n">
        <v>16.7</v>
      </c>
      <c r="F9" s="11" t="inlineStr">
        <is>
          <t>Centralized hiring</t>
        </is>
      </c>
    </row>
    <row r="10">
      <c r="A10" s="11" t="inlineStr">
        <is>
          <t>Fire Department</t>
        </is>
      </c>
      <c r="B10" s="16" t="n">
        <v>14.57</v>
      </c>
      <c r="C10" s="12" t="n">
        <v>12</v>
      </c>
      <c r="D10" s="11" t="inlineStr">
        <is>
          <t>TRIGGERED - OT cap</t>
        </is>
      </c>
      <c r="E10" s="13" t="n">
        <v>3.5</v>
      </c>
      <c r="F10" s="11" t="inlineStr">
        <is>
          <t>-</t>
        </is>
      </c>
    </row>
    <row r="12">
      <c r="A12" s="3" t="inlineStr">
        <is>
          <t>2. Intervention 1 - Overtime Budget Cap (departments &gt;10% OT)</t>
        </is>
      </c>
    </row>
    <row r="13">
      <c r="A13" s="4" t="inlineStr">
        <is>
          <t>Triggered department(s)</t>
        </is>
      </c>
      <c r="B13" s="26" t="inlineStr">
        <is>
          <t>Fire Department</t>
        </is>
      </c>
    </row>
    <row r="14">
      <c r="A14" s="4" t="inlineStr">
        <is>
          <t>Cap set at (% of regular hours)</t>
        </is>
      </c>
      <c r="B14" s="9" t="n">
        <v>13</v>
      </c>
    </row>
    <row r="15">
      <c r="A15" s="4" t="inlineStr">
        <is>
          <t>Fire FY2024 OT hours</t>
        </is>
      </c>
      <c r="B15" s="5" t="n">
        <v>43444</v>
      </c>
    </row>
    <row r="16">
      <c r="A16" s="4" t="inlineStr">
        <is>
          <t>Fire regular hours</t>
        </is>
      </c>
      <c r="B16" s="5" t="n">
        <v>298260</v>
      </c>
    </row>
    <row r="17">
      <c r="A17" s="4" t="inlineStr">
        <is>
          <t>Hours at cap (13% of regular)</t>
        </is>
      </c>
      <c r="B17" s="5" t="n">
        <v>38773</v>
      </c>
    </row>
    <row r="18">
      <c r="A18" s="4" t="inlineStr">
        <is>
          <t>Excess OT hours eliminated</t>
        </is>
      </c>
      <c r="B18" s="5" t="n">
        <v>4670</v>
      </c>
    </row>
    <row r="19">
      <c r="A19" s="4" t="inlineStr">
        <is>
          <t>OT reduction (%)</t>
        </is>
      </c>
      <c r="B19" s="27" t="n">
        <v>10.7</v>
      </c>
    </row>
    <row r="20">
      <c r="A20" s="4" t="inlineStr">
        <is>
          <t>Blended OT rate ($/hr)</t>
        </is>
      </c>
      <c r="B20" s="8" t="n">
        <v>48</v>
      </c>
    </row>
    <row r="21">
      <c r="A21" s="22" t="inlineStr">
        <is>
          <t>Annual savings at cap</t>
        </is>
      </c>
      <c r="B21" s="23" t="n">
        <v>224160</v>
      </c>
    </row>
    <row r="22">
      <c r="A22" s="19" t="inlineStr">
        <is>
          <t>Watch list: Sanitation at 9.79% (5 months &gt;10%). Not capped; mid-year re-evaluation; monthly OT series on Baseline tab.</t>
        </is>
      </c>
    </row>
    <row r="24">
      <c r="A24" s="3" t="inlineStr">
        <is>
          <t>3. Intervention 2 - Centralized Hiring (divisions with vacancy &gt;12%)</t>
        </is>
      </c>
    </row>
    <row r="25">
      <c r="A25" s="10" t="inlineStr">
        <is>
          <t>Department</t>
        </is>
      </c>
      <c r="B25" s="10" t="inlineStr">
        <is>
          <t>Division</t>
        </is>
      </c>
      <c r="C25" s="10" t="inlineStr">
        <is>
          <t>Authorized</t>
        </is>
      </c>
      <c r="D25" s="10" t="inlineStr">
        <is>
          <t>Filled</t>
        </is>
      </c>
      <c r="E25" s="10" t="inlineStr">
        <is>
          <t>Vacancy %</t>
        </is>
      </c>
      <c r="F25" s="10" t="inlineStr">
        <is>
          <t>Vacancies</t>
        </is>
      </c>
    </row>
    <row r="26">
      <c r="A26" s="11" t="inlineStr">
        <is>
          <t>Transportation</t>
        </is>
      </c>
      <c r="B26" s="11" t="inlineStr">
        <is>
          <t>Road Maintenance</t>
        </is>
      </c>
      <c r="C26" s="12" t="n">
        <v>54</v>
      </c>
      <c r="D26" s="12" t="n">
        <v>46</v>
      </c>
      <c r="E26" s="13" t="n">
        <v>14.8</v>
      </c>
      <c r="F26" s="12" t="n">
        <v>8</v>
      </c>
    </row>
    <row r="27">
      <c r="A27" s="11" t="inlineStr">
        <is>
          <t>Transportation</t>
        </is>
      </c>
      <c r="B27" s="11" t="inlineStr">
        <is>
          <t>Traffic Engineering</t>
        </is>
      </c>
      <c r="C27" s="12" t="n">
        <v>26</v>
      </c>
      <c r="D27" s="12" t="n">
        <v>22</v>
      </c>
      <c r="E27" s="13" t="n">
        <v>15.4</v>
      </c>
      <c r="F27" s="12" t="n">
        <v>4</v>
      </c>
    </row>
    <row r="28">
      <c r="A28" s="11" t="inlineStr">
        <is>
          <t>Transportation</t>
        </is>
      </c>
      <c r="B28" s="11" t="inlineStr">
        <is>
          <t>Public Transit</t>
        </is>
      </c>
      <c r="C28" s="12" t="n">
        <v>38</v>
      </c>
      <c r="D28" s="12" t="n">
        <v>32</v>
      </c>
      <c r="E28" s="13" t="n">
        <v>15.8</v>
      </c>
      <c r="F28" s="12" t="n">
        <v>6</v>
      </c>
    </row>
    <row r="29">
      <c r="A29" s="11" t="inlineStr">
        <is>
          <t>Transportation</t>
        </is>
      </c>
      <c r="B29" s="11" t="inlineStr">
        <is>
          <t>Planning &amp; Design</t>
        </is>
      </c>
      <c r="C29" s="12" t="n">
        <v>16</v>
      </c>
      <c r="D29" s="12" t="n">
        <v>14</v>
      </c>
      <c r="E29" s="13" t="n">
        <v>12.5</v>
      </c>
      <c r="F29" s="12" t="n">
        <v>2</v>
      </c>
    </row>
    <row r="30">
      <c r="A30" s="11" t="inlineStr">
        <is>
          <t>Health Services</t>
        </is>
      </c>
      <c r="B30" s="11" t="inlineStr">
        <is>
          <t>Clinical Services</t>
        </is>
      </c>
      <c r="C30" s="12" t="n">
        <v>44</v>
      </c>
      <c r="D30" s="12" t="n">
        <v>36</v>
      </c>
      <c r="E30" s="13" t="n">
        <v>18.2</v>
      </c>
      <c r="F30" s="12" t="n">
        <v>8</v>
      </c>
    </row>
    <row r="31">
      <c r="A31" s="11" t="inlineStr">
        <is>
          <t>Health Services</t>
        </is>
      </c>
      <c r="B31" s="11" t="inlineStr">
        <is>
          <t>Environmental Health</t>
        </is>
      </c>
      <c r="C31" s="12" t="n">
        <v>22</v>
      </c>
      <c r="D31" s="12" t="n">
        <v>19</v>
      </c>
      <c r="E31" s="13" t="n">
        <v>13.6</v>
      </c>
      <c r="F31" s="12" t="n">
        <v>3</v>
      </c>
    </row>
    <row r="32">
      <c r="A32" s="11" t="inlineStr">
        <is>
          <t>Health Services</t>
        </is>
      </c>
      <c r="B32" s="11" t="inlineStr">
        <is>
          <t>Community Outreach</t>
        </is>
      </c>
      <c r="C32" s="12" t="n">
        <v>18</v>
      </c>
      <c r="D32" s="12" t="n">
        <v>15</v>
      </c>
      <c r="E32" s="13" t="n">
        <v>16.7</v>
      </c>
      <c r="F32" s="12" t="n">
        <v>3</v>
      </c>
    </row>
    <row r="33">
      <c r="A33" s="11" t="inlineStr">
        <is>
          <t>Health Services</t>
        </is>
      </c>
      <c r="B33" s="11" t="inlineStr">
        <is>
          <t>Epidemiology &amp; Data</t>
        </is>
      </c>
      <c r="C33" s="12" t="n">
        <v>12</v>
      </c>
      <c r="D33" s="12" t="n">
        <v>10</v>
      </c>
      <c r="E33" s="13" t="n">
        <v>16.7</v>
      </c>
      <c r="F33" s="12" t="n">
        <v>2</v>
      </c>
    </row>
    <row r="34">
      <c r="A34" s="4" t="inlineStr">
        <is>
          <t>Triggered divisions</t>
        </is>
      </c>
      <c r="B34" s="5" t="n">
        <v>8</v>
      </c>
    </row>
    <row r="35">
      <c r="A35" s="4" t="inlineStr">
        <is>
          <t>Total vacancies in triggered divisions</t>
        </is>
      </c>
      <c r="B35" s="5" t="n">
        <v>36</v>
      </c>
    </row>
    <row r="36">
      <c r="A36" s="4" t="inlineStr">
        <is>
          <t>Positions filled Year 1 (60%)</t>
        </is>
      </c>
      <c r="B36" s="5" t="n">
        <v>22</v>
      </c>
    </row>
    <row r="37">
      <c r="A37" s="4" t="inlineStr">
        <is>
          <t xml:space="preserve">  Transportation fills Y1</t>
        </is>
      </c>
      <c r="B37" s="5" t="n">
        <v>12</v>
      </c>
    </row>
    <row r="38">
      <c r="A38" s="4" t="inlineStr">
        <is>
          <t xml:space="preserve">  Health Services fills Y1</t>
        </is>
      </c>
      <c r="B38" s="5" t="n">
        <v>10</v>
      </c>
    </row>
    <row r="39">
      <c r="A39" s="4" t="inlineStr">
        <is>
          <t>Share of department OT attributed to vacancy backfill</t>
        </is>
      </c>
      <c r="B39" s="28" t="n">
        <v>0.25</v>
      </c>
    </row>
    <row r="40">
      <c r="A40" s="4" t="inlineStr">
        <is>
          <t>Vacancy-driven OT savings - Year 1</t>
        </is>
      </c>
      <c r="B40" s="8" t="n">
        <v>178539.08</v>
      </c>
    </row>
    <row r="41">
      <c r="A41" s="4" t="inlineStr">
        <is>
          <t>Vacancy-driven OT savings - Year 2+ (all 36 filled)</t>
        </is>
      </c>
      <c r="B41" s="8" t="n">
        <v>292092.31</v>
      </c>
    </row>
    <row r="43">
      <c r="A43" s="3" t="inlineStr">
        <is>
          <t>4. Intervention 3 - Cross-Training Pools</t>
        </is>
      </c>
    </row>
    <row r="44">
      <c r="A44" s="10" t="inlineStr">
        <is>
          <t>Pool</t>
        </is>
      </c>
      <c r="B44" s="10" t="inlineStr">
        <is>
          <t>Members</t>
        </is>
      </c>
      <c r="C44" s="10" t="inlineStr">
        <is>
          <t>Drawn from</t>
        </is>
      </c>
      <c r="D44" s="10" t="inlineStr">
        <is>
          <t>Surge targets</t>
        </is>
      </c>
    </row>
    <row r="45">
      <c r="A45" s="11" t="inlineStr">
        <is>
          <t>Field Operations Pool</t>
        </is>
      </c>
      <c r="B45" s="12" t="n">
        <v>24</v>
      </c>
      <c r="C45" s="11" t="inlineStr">
        <is>
          <t>Sanitation / Transportation / Parks field divisions</t>
        </is>
      </c>
      <c r="D45" s="11" t="inlineStr">
        <is>
          <t>Illegal Dumping, Bulk Pickup, Pothole, Tree Removal surge capacity</t>
        </is>
      </c>
    </row>
    <row r="46">
      <c r="A46" s="11" t="inlineStr">
        <is>
          <t>Inspection &amp; Public Health Pool</t>
        </is>
      </c>
      <c r="B46" s="12" t="n">
        <v>12</v>
      </c>
      <c r="C46" s="11" t="inlineStr">
        <is>
          <t>Health Services / Parks &amp; Recreation</t>
        </is>
      </c>
      <c r="D46" s="11" t="inlineStr">
        <is>
          <t>Environmental Complaint, Playground Inspection, Food Safety surge</t>
        </is>
      </c>
    </row>
    <row r="47">
      <c r="A47" s="11" t="inlineStr">
        <is>
          <t>Fleet &amp; Facilities Pool</t>
        </is>
      </c>
      <c r="B47" s="12" t="n">
        <v>9</v>
      </c>
      <c r="C47" s="11" t="inlineStr">
        <is>
          <t>Sanitation / Transportation / Parks</t>
        </is>
      </c>
      <c r="D47" s="11" t="inlineStr">
        <is>
          <t>Fleet Repair, Facility Reservation, equipment upkeep</t>
        </is>
      </c>
    </row>
    <row r="48">
      <c r="A48" s="4" t="inlineStr">
        <is>
          <t>Pool members total</t>
        </is>
      </c>
      <c r="B48" s="5" t="n">
        <v>45</v>
      </c>
    </row>
    <row r="49">
      <c r="A49" s="4" t="inlineStr">
        <is>
          <t>Training: 40 hrs x $31.50 loaded hourly</t>
        </is>
      </c>
      <c r="B49" s="8" t="n">
        <v>56700</v>
      </c>
    </row>
    <row r="50">
      <c r="A50" s="4" t="inlineStr">
        <is>
          <t>Annual training refresh</t>
        </is>
      </c>
      <c r="B50" s="7" t="n">
        <v>15000</v>
      </c>
    </row>
    <row r="52">
      <c r="A52" s="3" t="inlineStr">
        <is>
          <t>5. Program Costs</t>
        </is>
      </c>
    </row>
    <row r="53">
      <c r="A53" s="4" t="inlineStr">
        <is>
          <t>Centralized hiring team (3 HR FTE @ $58,000 x 1.35 loaded)</t>
        </is>
      </c>
      <c r="B53" s="7" t="n">
        <v>234900</v>
      </c>
    </row>
    <row r="54">
      <c r="A54" s="4" t="inlineStr">
        <is>
          <t>Hiring/vacancy dashboard (one-time)</t>
        </is>
      </c>
      <c r="B54" s="7" t="n">
        <v>40000</v>
      </c>
    </row>
    <row r="55">
      <c r="A55" s="4" t="inlineStr">
        <is>
          <t>Cross-training initial cost</t>
        </is>
      </c>
      <c r="B55" s="7" t="n">
        <v>56700</v>
      </c>
    </row>
    <row r="56">
      <c r="A56" s="22" t="inlineStr">
        <is>
          <t>Total one-time cost</t>
        </is>
      </c>
      <c r="B56" s="23" t="n">
        <v>96700</v>
      </c>
    </row>
    <row r="57">
      <c r="A57" s="22" t="inlineStr">
        <is>
          <t>Ongoing annual program cost (hiring team + refresh)</t>
        </is>
      </c>
      <c r="B57" s="23" t="n">
        <v>249900</v>
      </c>
    </row>
    <row r="59">
      <c r="A59" s="3" t="inlineStr">
        <is>
          <t>6. Cash Flow</t>
        </is>
      </c>
    </row>
    <row r="60">
      <c r="A60" s="10" t="inlineStr">
        <is>
          <t>Year</t>
        </is>
      </c>
      <c r="B60" s="10" t="inlineStr">
        <is>
          <t>Gross savings $</t>
        </is>
      </c>
      <c r="C60" s="10" t="inlineStr">
        <is>
          <t>Program costs $</t>
        </is>
      </c>
      <c r="D60" s="10" t="inlineStr">
        <is>
          <t>Net $</t>
        </is>
      </c>
      <c r="E60" s="10" t="inlineStr">
        <is>
          <t>Cumulative net $</t>
        </is>
      </c>
    </row>
    <row r="61">
      <c r="A61" s="11" t="inlineStr">
        <is>
          <t>Year 1</t>
        </is>
      </c>
      <c r="B61" s="15" t="n">
        <v>346659.08</v>
      </c>
      <c r="C61" s="15" t="n">
        <v>346600</v>
      </c>
      <c r="D61" s="15" t="n">
        <v>59.08</v>
      </c>
      <c r="E61" s="15" t="n">
        <v>59.08</v>
      </c>
    </row>
    <row r="62">
      <c r="A62" s="11" t="inlineStr">
        <is>
          <t>Year 2</t>
        </is>
      </c>
      <c r="B62" s="15" t="n">
        <v>516252.31</v>
      </c>
      <c r="C62" s="15" t="n">
        <v>249900</v>
      </c>
      <c r="D62" s="15" t="n">
        <v>266352.31</v>
      </c>
      <c r="E62" s="15" t="n">
        <v>266411.39</v>
      </c>
    </row>
    <row r="63">
      <c r="A63" s="11" t="inlineStr">
        <is>
          <t>Year 3</t>
        </is>
      </c>
      <c r="B63" s="15" t="n">
        <v>516252.31</v>
      </c>
      <c r="C63" s="15" t="n">
        <v>249900</v>
      </c>
      <c r="D63" s="15" t="n">
        <v>266352.31</v>
      </c>
      <c r="E63" s="15" t="n">
        <v>532763.7</v>
      </c>
    </row>
    <row r="64">
      <c r="A64" s="19" t="inlineStr">
        <is>
          <t>Year 1: OT cap effective from Q2 (75% of cap savings); hiring fills phased through the year. Year 1 is approximately break-even by design - investment year.</t>
        </is>
      </c>
    </row>
    <row r="65">
      <c r="A65" s="22" t="inlineStr">
        <is>
          <t>Steady-state annual savings</t>
        </is>
      </c>
      <c r="B65" s="23" t="n">
        <v>516252.31</v>
      </c>
    </row>
    <row r="66">
      <c r="A66" s="22" t="inlineStr">
        <is>
          <t>3-year cumulative net</t>
        </is>
      </c>
      <c r="B66" s="23" t="n">
        <v>532763.7</v>
      </c>
    </row>
    <row r="68">
      <c r="A68" s="3" t="inlineStr">
        <is>
          <t>7. Service-Level Projections (targeted at the 8 sub-65% processes)</t>
        </is>
      </c>
    </row>
    <row r="69">
      <c r="A69" s="10" t="inlineStr">
        <is>
          <t>Process</t>
        </is>
      </c>
      <c r="B69" s="10" t="inlineStr">
        <is>
          <t>Baseline on-time %</t>
        </is>
      </c>
      <c r="C69" s="10" t="inlineStr">
        <is>
          <t>Projected on-time %</t>
        </is>
      </c>
      <c r="D69" s="10" t="inlineStr">
        <is>
          <t>Baseline cycle (days)</t>
        </is>
      </c>
      <c r="E69" s="10" t="inlineStr">
        <is>
          <t>Projected cycle (days)</t>
        </is>
      </c>
    </row>
    <row r="70">
      <c r="A70" s="11" t="inlineStr">
        <is>
          <t>Street Resurfacing Project</t>
        </is>
      </c>
      <c r="B70" s="13" t="n">
        <v>48.3</v>
      </c>
      <c r="C70" s="13" t="n">
        <v>55</v>
      </c>
      <c r="D70" s="17" t="n">
        <v>45.2</v>
      </c>
      <c r="E70" s="17" t="n">
        <v>38</v>
      </c>
    </row>
    <row r="71">
      <c r="A71" s="11" t="inlineStr">
        <is>
          <t>Sidewalk Repair Request</t>
        </is>
      </c>
      <c r="B71" s="13" t="n">
        <v>61.7</v>
      </c>
      <c r="C71" s="13" t="n">
        <v>68</v>
      </c>
      <c r="D71" s="17" t="n">
        <v>28.4</v>
      </c>
      <c r="E71" s="17" t="n">
        <v>23</v>
      </c>
    </row>
    <row r="72">
      <c r="A72" s="11" t="inlineStr">
        <is>
          <t>Transit Route Change Request</t>
        </is>
      </c>
      <c r="B72" s="13" t="n">
        <v>55.1</v>
      </c>
      <c r="C72" s="13" t="n">
        <v>63</v>
      </c>
      <c r="D72" s="17" t="n">
        <v>22.5</v>
      </c>
      <c r="E72" s="17" t="n">
        <v>18</v>
      </c>
    </row>
    <row r="73">
      <c r="A73" s="11" t="inlineStr">
        <is>
          <t>Bulk Pickup Request</t>
        </is>
      </c>
      <c r="B73" s="13" t="n">
        <v>58.1</v>
      </c>
      <c r="C73" s="13" t="n">
        <v>68</v>
      </c>
      <c r="D73" s="17" t="n">
        <v>5.8</v>
      </c>
      <c r="E73" s="17" t="n">
        <v>4.8</v>
      </c>
    </row>
    <row r="74">
      <c r="A74" s="11" t="inlineStr">
        <is>
          <t>Illegal Dumping Investigation</t>
        </is>
      </c>
      <c r="B74" s="13" t="n">
        <v>54.2</v>
      </c>
      <c r="C74" s="13" t="n">
        <v>67</v>
      </c>
      <c r="D74" s="17" t="n">
        <v>14.7</v>
      </c>
      <c r="E74" s="17" t="n">
        <v>11</v>
      </c>
    </row>
    <row r="75">
      <c r="A75" s="11" t="inlineStr">
        <is>
          <t>Tree Removal Request</t>
        </is>
      </c>
      <c r="B75" s="13" t="n">
        <v>62.4</v>
      </c>
      <c r="C75" s="13" t="n">
        <v>71</v>
      </c>
      <c r="D75" s="17" t="n">
        <v>18.6</v>
      </c>
      <c r="E75" s="17" t="n">
        <v>15</v>
      </c>
    </row>
    <row r="76">
      <c r="A76" s="11" t="inlineStr">
        <is>
          <t>Environmental Complaint Investigation</t>
        </is>
      </c>
      <c r="B76" s="13" t="n">
        <v>64.09999999999999</v>
      </c>
      <c r="C76" s="13" t="n">
        <v>72</v>
      </c>
      <c r="D76" s="17" t="n">
        <v>9.800000000000001</v>
      </c>
      <c r="E76" s="17" t="n">
        <v>8</v>
      </c>
    </row>
    <row r="77">
      <c r="A77" s="11" t="inlineStr">
        <is>
          <t>Plan Review (New Construction)</t>
        </is>
      </c>
      <c r="B77" s="13" t="n">
        <v>59.6</v>
      </c>
      <c r="C77" s="13" t="n">
        <v>66</v>
      </c>
      <c r="D77" s="17" t="n">
        <v>14.8</v>
      </c>
      <c r="E77" s="17" t="n">
        <v>12.5</v>
      </c>
    </row>
    <row r="78">
      <c r="A78" s="22" t="inlineStr">
        <is>
          <t>Average on-time gain (pp)</t>
        </is>
      </c>
      <c r="B78" s="25" t="n">
        <v>8.300000000000001</v>
      </c>
    </row>
    <row r="79">
      <c r="A79" s="4" t="inlineStr">
        <is>
          <t>Processes reaching &gt;=65% on-time</t>
        </is>
      </c>
      <c r="B79" s="5" t="n">
        <v>6</v>
      </c>
    </row>
    <row r="81">
      <c r="A81" s="3" t="inlineStr">
        <is>
          <t>8. Workforce &amp; Implementation Profile</t>
        </is>
      </c>
    </row>
    <row r="82">
      <c r="A82" s="4" t="inlineStr">
        <is>
          <t>FTEs reallocated (45 cross-trained + 3 hiring team)</t>
        </is>
      </c>
      <c r="B82" s="5" t="n">
        <v>48</v>
      </c>
    </row>
    <row r="83">
      <c r="A83" s="4" t="inlineStr">
        <is>
          <t>Timeline to full implementation (months)</t>
        </is>
      </c>
      <c r="B83" s="5" t="n">
        <v>12</v>
      </c>
    </row>
    <row r="84">
      <c r="A84" s="4" t="inlineStr">
        <is>
          <t>Complexity (1-5, 5 worst)</t>
        </is>
      </c>
      <c r="B84" s="5" t="n">
        <v>2</v>
      </c>
    </row>
    <row r="85">
      <c r="A85" s="4" t="inlineStr">
        <is>
          <t>Risk (1-5, 5 worst)</t>
        </is>
      </c>
      <c r="B85" s="5" t="n">
        <v>2</v>
      </c>
    </row>
    <row r="87">
      <c r="A87" s="3" t="inlineStr">
        <is>
          <t>9. Assumptions Register</t>
        </is>
      </c>
    </row>
    <row r="88">
      <c r="A88" s="19" t="inlineStr">
        <is>
          <t>B1. OT cap at 13% of regular hours applies only to departments above the 10% trigger (Fire Department, FY avg 14.57%).</t>
        </is>
      </c>
    </row>
    <row r="89">
      <c r="A89" s="19" t="inlineStr">
        <is>
          <t>B2. Excess OT priced at the department blended OT rate ($48.00/hr for Fire).</t>
        </is>
      </c>
    </row>
    <row r="90">
      <c r="A90" s="19" t="inlineStr">
        <is>
          <t>B3. Backfill share: 25% of each triggering department's OT cost is attributable to vacancy-driven backfill.</t>
        </is>
      </c>
    </row>
    <row r="91">
      <c r="A91" s="19" t="inlineStr">
        <is>
          <t>B4. Hiring: 60% of triggered-division vacancies filled in Year 1 (22 of 36), 100% by end of Year 2; savings scale with fills.</t>
        </is>
      </c>
    </row>
    <row r="92">
      <c r="A92" s="19" t="inlineStr">
        <is>
          <t>B5. Hiring team 3 HR/recruitment FTE at $58,000 average salary x 1.35 loaded = $234,900/yr.</t>
        </is>
      </c>
    </row>
    <row r="93">
      <c r="A93" s="19" t="inlineStr">
        <is>
          <t>B6. Cross-training: 45 members x 40 hours x $31.50 loaded hourly; $15,000/yr refresh.</t>
        </is>
      </c>
    </row>
    <row r="94">
      <c r="A94" s="19" t="inlineStr">
        <is>
          <t>B7. Dashboard build $40,000 one-time (vacancy pipeline + OT tracking).</t>
        </is>
      </c>
    </row>
    <row r="95">
      <c r="A95" s="19" t="inlineStr">
        <is>
          <t>B8. Sanitation (9.79%) on watch list only; cap not applied; re-evaluate at mid-year.</t>
        </is>
      </c>
    </row>
    <row r="96">
      <c r="A96" s="19" t="inlineStr">
        <is>
          <t>B9. No change to department boundaries, CBAs, or civil-service titles.</t>
        </is>
      </c>
    </row>
  </sheetData>
  <mergeCells count="11">
    <mergeCell ref="A90:F90"/>
    <mergeCell ref="A93:F93"/>
    <mergeCell ref="A64:E64"/>
    <mergeCell ref="A94:F94"/>
    <mergeCell ref="A89:F89"/>
    <mergeCell ref="A22:F22"/>
    <mergeCell ref="A88:F88"/>
    <mergeCell ref="A92:F92"/>
    <mergeCell ref="A96:F96"/>
    <mergeCell ref="A91:F91"/>
    <mergeCell ref="A95:F95"/>
  </mergeCells>
  <conditionalFormatting sqref="B6:B10">
    <cfRule type="expression" priority="1" dxfId="0">
      <formula>B6&gt;10</formula>
    </cfRule>
  </conditionalFormatting>
  <conditionalFormatting sqref="E6:E10">
    <cfRule type="expression" priority="2" dxfId="0">
      <formula>E6&gt;12</formula>
    </cfRule>
  </conditionalFormatting>
  <conditionalFormatting sqref="E26:E33">
    <cfRule type="expression" priority="3" dxfId="0">
      <formula>E26&gt;12</formula>
    </cfRule>
  </conditionalFormatting>
  <conditionalFormatting sqref="B70:B77">
    <cfRule type="expression" priority="4" dxfId="0">
      <formula>B70&lt;65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Comparison Summary &amp; Recommendation</t>
        </is>
      </c>
    </row>
    <row r="2">
      <c r="A2" s="2" t="inlineStr">
        <is>
          <t>Five-dimension comparison of Proposal A, Proposal B, and the recommended Hybrid (Proposal B + Public-Works fleet-sharing pilot). Green shading = recommended option.</t>
        </is>
      </c>
    </row>
    <row r="4">
      <c r="A4" s="3" t="inlineStr">
        <is>
          <t>1. Five-Dimension Comparison</t>
        </is>
      </c>
    </row>
    <row r="5">
      <c r="A5" s="10" t="inlineStr">
        <is>
          <t>Dimension</t>
        </is>
      </c>
      <c r="B5" s="10" t="inlineStr">
        <is>
          <t>Proposal A - Consolidate</t>
        </is>
      </c>
      <c r="C5" s="10" t="inlineStr">
        <is>
          <t>Proposal B - Targeted Fix</t>
        </is>
      </c>
      <c r="D5" s="10" t="inlineStr">
        <is>
          <t>Hybrid (recommended)</t>
        </is>
      </c>
    </row>
    <row r="6">
      <c r="A6" s="11" t="inlineStr">
        <is>
          <t>Annual cost savings (3-yr avg net $)</t>
        </is>
      </c>
      <c r="B6" s="29" t="n">
        <v>657609.61</v>
      </c>
      <c r="C6" s="15" t="n">
        <v>177587.9</v>
      </c>
      <c r="D6" s="15" t="n">
        <v>526675.92</v>
      </c>
    </row>
    <row r="7">
      <c r="A7" s="11" t="inlineStr">
        <is>
          <t>FTEs reallocated</t>
        </is>
      </c>
      <c r="B7" s="29" t="n">
        <v>24</v>
      </c>
      <c r="C7" s="29" t="n">
        <v>48</v>
      </c>
      <c r="D7" s="29" t="n">
        <v>60</v>
      </c>
    </row>
    <row r="8">
      <c r="A8" s="11" t="inlineStr">
        <is>
          <t>Projected SLA improvement (avg pp)</t>
        </is>
      </c>
      <c r="B8" s="29" t="n">
        <v>6.2</v>
      </c>
      <c r="C8" s="29" t="n">
        <v>8.300000000000001</v>
      </c>
      <c r="D8" s="29" t="n">
        <v>8.300000000000001</v>
      </c>
    </row>
    <row r="9">
      <c r="A9" s="11" t="inlineStr">
        <is>
          <t>Processes reaching &gt;=65% on-time</t>
        </is>
      </c>
      <c r="B9" s="29" t="n">
        <v>5</v>
      </c>
      <c r="C9" s="29" t="n">
        <v>6</v>
      </c>
      <c r="D9" s="29" t="n">
        <v>6</v>
      </c>
    </row>
    <row r="10">
      <c r="A10" s="11" t="inlineStr">
        <is>
          <t>Complexity (1-5, 5 worst)</t>
        </is>
      </c>
      <c r="B10" s="29" t="n">
        <v>4</v>
      </c>
      <c r="C10" s="29" t="n">
        <v>2</v>
      </c>
      <c r="D10" s="29" t="n">
        <v>3</v>
      </c>
    </row>
    <row r="11">
      <c r="A11" s="11" t="inlineStr">
        <is>
          <t>Risk (1-5, 5 worst)</t>
        </is>
      </c>
      <c r="B11" s="29" t="n">
        <v>4</v>
      </c>
      <c r="C11" s="29" t="n">
        <v>2</v>
      </c>
      <c r="D11" s="29" t="n">
        <v>3</v>
      </c>
    </row>
    <row r="12">
      <c r="A12" s="11" t="inlineStr">
        <is>
          <t>Year-1 net $</t>
        </is>
      </c>
      <c r="B12" s="29" t="n">
        <v>-205434.24</v>
      </c>
      <c r="C12" s="29" t="n">
        <v>59.08</v>
      </c>
      <c r="D12" s="15" t="n">
        <v>89551.89</v>
      </c>
    </row>
    <row r="13">
      <c r="A13" s="11" t="inlineStr">
        <is>
          <t>Year-2/3 net $/yr</t>
        </is>
      </c>
      <c r="B13" s="29" t="n">
        <v>1089131.53</v>
      </c>
      <c r="C13" s="15" t="n">
        <v>266352.31</v>
      </c>
      <c r="D13" s="15" t="n">
        <v>745237.9300000001</v>
      </c>
    </row>
    <row r="14">
      <c r="A14" s="11" t="inlineStr">
        <is>
          <t>3-year cumulative net $</t>
        </is>
      </c>
      <c r="B14" s="29" t="n">
        <v>1972828.82</v>
      </c>
      <c r="C14" s="15" t="n">
        <v>532763.7</v>
      </c>
      <c r="D14" s="15" t="n">
        <v>1580027.75</v>
      </c>
    </row>
    <row r="15">
      <c r="A15" s="11" t="inlineStr">
        <is>
          <t>Timeline (months)</t>
        </is>
      </c>
      <c r="B15" s="29" t="n">
        <v>24</v>
      </c>
      <c r="C15" s="29" t="n">
        <v>12</v>
      </c>
      <c r="D15" s="29" t="n">
        <v>12</v>
      </c>
    </row>
    <row r="17">
      <c r="A17" s="3" t="inlineStr">
        <is>
          <t>2. Scoring Rubric (weights: savings 30% | SLA 30% | complexity 20% | risk 20%)</t>
        </is>
      </c>
    </row>
    <row r="18">
      <c r="A18" s="10" t="inlineStr">
        <is>
          <t>Component</t>
        </is>
      </c>
      <c r="B18" s="10" t="inlineStr">
        <is>
          <t>Proposal A</t>
        </is>
      </c>
      <c r="C18" s="10" t="inlineStr">
        <is>
          <t>Proposal B</t>
        </is>
      </c>
      <c r="D18" s="10" t="inlineStr">
        <is>
          <t>Hybrid</t>
        </is>
      </c>
    </row>
    <row r="19">
      <c r="A19" s="11" t="inlineStr">
        <is>
          <t>Savings points (3-yr avg annual net; &gt;=900K=5, &gt;=600K=4, &gt;=400K=3, &gt;=200K=2, &gt;0=1)</t>
        </is>
      </c>
      <c r="B19" s="30" t="n">
        <v>4</v>
      </c>
      <c r="C19" s="30" t="n">
        <v>1</v>
      </c>
      <c r="D19" s="30" t="n">
        <v>3</v>
      </c>
    </row>
    <row r="20">
      <c r="A20" s="11" t="inlineStr">
        <is>
          <t>SLA points (avg pp gain; &gt;=8=5, &gt;=6=4, &gt;=4=3, &gt;=2=2, &gt;0=1)</t>
        </is>
      </c>
      <c r="B20" s="30" t="n">
        <v>4</v>
      </c>
      <c r="C20" s="30" t="n">
        <v>5</v>
      </c>
      <c r="D20" s="30" t="n">
        <v>5</v>
      </c>
    </row>
    <row r="21">
      <c r="A21" s="11" t="inlineStr">
        <is>
          <t>Complexity points (6 - level, x0.2)</t>
        </is>
      </c>
      <c r="B21" s="30" t="n">
        <v>0.4</v>
      </c>
      <c r="C21" s="30" t="n">
        <v>0.8</v>
      </c>
      <c r="D21" s="30" t="n">
        <v>0.6</v>
      </c>
    </row>
    <row r="22">
      <c r="A22" s="11" t="inlineStr">
        <is>
          <t>Risk points (6 - level, x0.2)</t>
        </is>
      </c>
      <c r="B22" s="30" t="n">
        <v>0.4</v>
      </c>
      <c r="C22" s="30" t="n">
        <v>0.8</v>
      </c>
      <c r="D22" s="30" t="n">
        <v>0.6</v>
      </c>
    </row>
    <row r="23">
      <c r="A23" s="31" t="inlineStr">
        <is>
          <t>NET RECOMMENDATION SCORE</t>
        </is>
      </c>
      <c r="B23" s="32" t="n">
        <v>3.2</v>
      </c>
      <c r="C23" s="32" t="n">
        <v>3.4</v>
      </c>
      <c r="D23" s="32" t="n">
        <v>3.6</v>
      </c>
    </row>
    <row r="25">
      <c r="A25" s="3" t="inlineStr">
        <is>
          <t>3. Recommendation: Hybrid - Proposal B + Public-Works Fleet-Sharing Pilot</t>
        </is>
      </c>
    </row>
    <row r="26">
      <c r="A26" s="19" t="inlineStr">
        <is>
          <t>Phase 1 (months 0-12): adopt all Proposal B interventions - Fire OT cap (13%), centralized hiring for the 8 divisions with vacancy &gt;12%, three cross-training pools (45 members), hiring team + dashboard.</t>
        </is>
      </c>
    </row>
    <row r="27">
      <c r="A27" s="19" t="inlineStr">
        <is>
          <t>Phase 2 (months 6-24): gated, REVERSIBLE fleet-sharing pilot across Sanitation/Transportation/Parks maintenance - shared maintenance bays, bulk fuel/parts contracts, pooled spares. No governance merger. Captures $150,000 fleet OTPS + $128,986 (half of modeled PW OT synergy) less $50,000 pilot cost.</t>
        </is>
      </c>
    </row>
    <row r="28">
      <c r="A28" s="19" t="inlineStr">
        <is>
          <t>Phase 3 (month 24+): consolidation re-evaluation ONLY if pilot gates pass (quarterly OT% and on-time% targets met for four consecutive quarters). Gates protect the city from the execution risk that drives Proposal A to complexity 4 / risk 4.</t>
        </is>
      </c>
    </row>
    <row r="29">
      <c r="A29" s="19" t="inlineStr">
        <is>
          <t>Quantitative case: 3-yr cumulative net $1,580,028 vs $532,764 (B) and $1,972,829 (A); Year-1 net positive (+$89,552) unlike A (-$205,434); SLA gain equal to B (+8.3pp, 6 processes fixed); complexity/risk 3/3 vs A's 4/4.</t>
        </is>
      </c>
    </row>
    <row r="31">
      <c r="A31" s="3" t="inlineStr">
        <is>
          <t>4. 3-Year Cumulative Net Savings ($)</t>
        </is>
      </c>
    </row>
    <row r="32">
      <c r="A32" s="10" t="inlineStr">
        <is>
          <t>Option</t>
        </is>
      </c>
      <c r="B32" s="10" t="inlineStr">
        <is>
          <t>Year-1 net</t>
        </is>
      </c>
      <c r="C32" s="10" t="inlineStr">
        <is>
          <t>3-yr cumulative net</t>
        </is>
      </c>
    </row>
    <row r="33">
      <c r="A33" s="33" t="inlineStr">
        <is>
          <t>Proposal A</t>
        </is>
      </c>
      <c r="B33" s="34" t="n">
        <v>-205434.24</v>
      </c>
      <c r="C33" s="34" t="n">
        <v>1972828.82</v>
      </c>
    </row>
    <row r="34">
      <c r="A34" s="33" t="inlineStr">
        <is>
          <t>Proposal B</t>
        </is>
      </c>
      <c r="B34" s="34" t="n">
        <v>59.08</v>
      </c>
      <c r="C34" s="34" t="n">
        <v>532763.7</v>
      </c>
    </row>
    <row r="35">
      <c r="A35" s="33" t="inlineStr">
        <is>
          <t>Hybrid</t>
        </is>
      </c>
      <c r="B35" s="34" t="n">
        <v>89551.89</v>
      </c>
      <c r="C35" s="34" t="n">
        <v>1580027.75</v>
      </c>
    </row>
    <row r="37">
      <c r="A37" s="19" t="inlineStr">
        <is>
          <t>Sources: [1][2] FY2024 Greenfield data; [3][4][5] NYC benchmarks. All projections carry documented assumptions listed on each proposal tab. Prepared for City Council vote on departmental restructuring.</t>
        </is>
      </c>
    </row>
  </sheetData>
  <mergeCells count="5">
    <mergeCell ref="A29:E29"/>
    <mergeCell ref="A26:E26"/>
    <mergeCell ref="A28:E28"/>
    <mergeCell ref="A37:E37"/>
    <mergeCell ref="A27:E27"/>
  </mergeCells>
  <conditionalFormatting sqref="D6:D15">
    <cfRule type="expression" priority="1" dxfId="1">
      <formula>TRUE</formula>
    </cfRule>
  </conditionalFormatting>
  <conditionalFormatting sqref="D23">
    <cfRule type="expression" priority="2" dxfId="2">
      <formula>TRUE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2026-10-19T15:50:47Z</dcterms:created>
  <dcterms:modified xmlns:dcterms="http://purl.org/dc/terms/" xmlns:xsi="http://www.w3.org/2001/XMLSchema-instance" xsi:type="dcterms:W3CDTF">2026-10-19T15:50:47Z</dcterms:modified>
</cp:coreProperties>
</file>