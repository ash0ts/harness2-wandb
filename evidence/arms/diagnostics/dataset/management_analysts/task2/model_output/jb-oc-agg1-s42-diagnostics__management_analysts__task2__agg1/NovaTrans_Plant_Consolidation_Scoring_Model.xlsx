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_Score" sheetId="1" state="visible" r:id="rId1"/>
    <sheet xmlns:r="http://schemas.openxmlformats.org/officeDocument/2006/relationships" name="Consolidation_Scenarios" sheetId="2" state="visible" r:id="rId2"/>
    <sheet xmlns:r="http://schemas.openxmlformats.org/officeDocument/2006/relationships" name="Risk_Matrix" sheetId="3" state="visible" r:id="rId3"/>
    <sheet xmlns:r="http://schemas.openxmlformats.org/officeDocument/2006/relationships" name="Data_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0.000"/>
    <numFmt numFmtId="165" formatCode="0.0"/>
    <numFmt numFmtId="166" formatCode="$#,##0.00"/>
    <numFmt numFmtId="167" formatCode="#,##0.0"/>
    <numFmt numFmtId="168" formatCode="$0.0000"/>
    <numFmt numFmtId="169" formatCode="0.00;-0.00;&quot;0.00&quot;"/>
    <numFmt numFmtId="170" formatCode="$#,##0;($#,##0)"/>
  </numFmts>
  <fonts count="15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9"/>
    </font>
    <font>
      <b val="1"/>
      <color rgb="00FFFFFF"/>
      <sz val="11"/>
    </font>
    <font>
      <b val="1"/>
      <color rgb="00FFFFFF"/>
      <sz val="10"/>
    </font>
    <font>
      <b val="1"/>
      <sz val="9"/>
    </font>
    <font>
      <sz val="9"/>
    </font>
    <font>
      <sz val="8"/>
    </font>
    <font>
      <b val="1"/>
      <sz val="8"/>
    </font>
    <font>
      <b val="1"/>
      <color rgb="00404040"/>
      <sz val="8"/>
    </font>
    <font>
      <i val="1"/>
      <color rgb="00404040"/>
      <sz val="8"/>
    </font>
    <font>
      <b val="1"/>
      <color rgb="001F3864"/>
      <sz val="10"/>
    </font>
    <font>
      <i val="1"/>
      <sz val="8"/>
    </font>
    <font>
      <b val="1"/>
      <color rgb="001F5C2E"/>
      <sz val="9"/>
    </font>
    <font>
      <b val="1"/>
      <color rgb="007F5F00"/>
      <sz val="9"/>
    </font>
  </fonts>
  <fills count="10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general" vertical="top" wrapText="1"/>
    </xf>
    <xf numFmtId="9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5" fillId="0" borderId="1" pivotButton="0" quotePrefix="0" xfId="0"/>
    <xf numFmtId="9" fontId="5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pivotButton="0" quotePrefix="0" xfId="0"/>
    <xf numFmtId="0" fontId="6" fillId="6" borderId="1" pivotButton="0" quotePrefix="0" xfId="0"/>
    <xf numFmtId="3" fontId="6" fillId="6" borderId="1" pivotButton="0" quotePrefix="0" xfId="0"/>
    <xf numFmtId="164" fontId="6" fillId="6" borderId="1" pivotButton="0" quotePrefix="0" xfId="0"/>
    <xf numFmtId="0" fontId="7" fillId="6" borderId="1" pivotButton="0" quotePrefix="0" xfId="0"/>
    <xf numFmtId="165" fontId="6" fillId="6" borderId="1" pivotButton="0" quotePrefix="0" xfId="0"/>
    <xf numFmtId="165" fontId="5" fillId="6" borderId="1" pivotButton="0" quotePrefix="0" xfId="0"/>
    <xf numFmtId="165" fontId="2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0" fontId="7" fillId="0" borderId="1" pivotButton="0" quotePrefix="0" xfId="0"/>
    <xf numFmtId="165" fontId="6" fillId="0" borderId="1" pivotButton="0" quotePrefix="0" xfId="0"/>
    <xf numFmtId="165" fontId="5" fillId="0" borderId="1" pivotButton="0" quotePrefix="0" xfId="0"/>
    <xf numFmtId="165" fontId="2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9" fontId="5" fillId="4" borderId="1" pivotButton="0" quotePrefix="0" xfId="0"/>
    <xf numFmtId="3" fontId="5" fillId="4" borderId="1" pivotButton="0" quotePrefix="0" xfId="0"/>
    <xf numFmtId="166" fontId="6" fillId="0" borderId="1" pivotButton="0" quotePrefix="0" xfId="0"/>
    <xf numFmtId="0" fontId="11" fillId="7" borderId="0" pivotButton="0" quotePrefix="0" xfId="0"/>
    <xf numFmtId="0" fontId="0" fillId="7" borderId="0" pivotButton="0" quotePrefix="0" xfId="0"/>
    <xf numFmtId="0" fontId="12" fillId="0" borderId="1" applyAlignment="1" pivotButton="0" quotePrefix="0" xfId="0">
      <alignment horizontal="general" vertical="top" wrapText="1"/>
    </xf>
    <xf numFmtId="167" fontId="6" fillId="0" borderId="1" pivotButton="0" quotePrefix="0" xfId="0"/>
    <xf numFmtId="168" fontId="6" fillId="0" borderId="1" pivotButton="0" quotePrefix="0" xfId="0"/>
    <xf numFmtId="169" fontId="6" fillId="0" borderId="1" pivotButton="0" quotePrefix="0" xfId="0"/>
    <xf numFmtId="0" fontId="7" fillId="0" borderId="1" applyAlignment="1" pivotButton="0" quotePrefix="0" xfId="0">
      <alignment horizontal="general" vertical="top" wrapText="1"/>
    </xf>
    <xf numFmtId="0" fontId="5" fillId="8" borderId="1" pivotButton="0" quotePrefix="0" xfId="0"/>
    <xf numFmtId="0" fontId="6" fillId="8" borderId="1" pivotButton="0" quotePrefix="0" xfId="0"/>
    <xf numFmtId="167" fontId="5" fillId="8" borderId="1" pivotButton="0" quotePrefix="0" xfId="0"/>
    <xf numFmtId="166" fontId="5" fillId="8" borderId="1" pivotButton="0" quotePrefix="0" xfId="0"/>
    <xf numFmtId="0" fontId="8" fillId="8" borderId="1" pivotButton="0" quotePrefix="0" xfId="0"/>
    <xf numFmtId="0" fontId="11" fillId="0" borderId="1" pivotButton="0" quotePrefix="0" xfId="0"/>
    <xf numFmtId="170" fontId="5" fillId="5" borderId="1" pivotButton="0" quotePrefix="0" xfId="0"/>
    <xf numFmtId="170" fontId="5" fillId="8" borderId="1" pivotButton="0" quotePrefix="0" xfId="0"/>
    <xf numFmtId="170" fontId="5" fillId="9" borderId="1" pivotButton="0" quotePrefix="0" xfId="0"/>
    <xf numFmtId="0" fontId="13" fillId="0" borderId="1" applyAlignment="1" pivotButton="0" quotePrefix="0" xfId="0">
      <alignment horizontal="general" vertical="top" wrapText="1"/>
    </xf>
    <xf numFmtId="0" fontId="6" fillId="4" borderId="1" pivotButton="0" quotePrefix="0" xfId="0"/>
    <xf numFmtId="0" fontId="14" fillId="0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4" borderId="1" pivotButton="0" quotePrefix="0" xfId="0"/>
    <xf numFmtId="0" fontId="7" fillId="5" borderId="1" pivotButton="0" quotePrefix="0" xfId="0"/>
    <xf numFmtId="0" fontId="8" fillId="0" borderId="1" pivotButton="0" quotePrefix="0" xfId="0"/>
    <xf numFmtId="0" fontId="12" fillId="0" borderId="1" pivotButton="0" quotePrefix="0" xfId="0"/>
    <xf numFmtId="0" fontId="8" fillId="9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2" customWidth="1" min="4" max="4"/>
    <col width="12" customWidth="1" min="5" max="5"/>
    <col width="14" customWidth="1" min="6" max="6"/>
    <col width="22" customWidth="1" min="7" max="7"/>
    <col width="10" customWidth="1" min="8" max="8"/>
    <col width="10" customWidth="1" min="9" max="9"/>
    <col width="12" customWidth="1" min="10" max="10"/>
    <col width="11" customWidth="1" min="11" max="11"/>
    <col width="10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NOVATRANS LOGISTICS - PLANT CONSOLIDATION SCORING MODEL</t>
        </is>
      </c>
    </row>
    <row r="2">
      <c r="A2" s="2" t="inlineStr">
        <is>
          <t>Ranks all 19 distribution plants on consolidation candidacy. Sources: WhCapacities.csv, WhCosts.csv, PlantPorts.csv, FreightRates.csv (Brunel University London, Figshare - Supply Chain Logistics Problem Dataset), OrderList.csv, Customer_Satisfaction_Survey_Q4.xlsx. Prepared under Board directive; supplements COO engagement memo of 15-Jan-2024.</t>
        </is>
      </c>
    </row>
    <row r="4">
      <c r="A4" s="3" t="inlineStr">
        <is>
          <t>A.  WEIGHTING RATIONALE  (weights are live input cells - adjust to stress-test the ranking)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Pillar</t>
        </is>
      </c>
      <c r="B5" s="5" t="inlineStr">
        <is>
          <t>Weight</t>
        </is>
      </c>
      <c r="C5" s="5" t="inlineStr">
        <is>
          <t>Metric &amp; source</t>
        </is>
      </c>
      <c r="D5" s="5" t="inlineStr">
        <is>
          <t>Normalization</t>
        </is>
      </c>
      <c r="E5" s="5" t="inlineStr">
        <is>
          <t>Weighting rationale</t>
        </is>
      </c>
      <c r="F5" s="6" t="n"/>
      <c r="G5" s="6" t="n"/>
      <c r="H5" s="6" t="n"/>
      <c r="I5" s="7" t="n"/>
    </row>
    <row r="6" ht="62" customHeight="1">
      <c r="A6" s="8" t="inlineStr">
        <is>
          <t>P1 - Structural Scale Deficit</t>
        </is>
      </c>
      <c r="B6" s="9" t="n">
        <v>0.3</v>
      </c>
      <c r="C6" s="10" t="inlineStr">
        <is>
          <t>Daily_Capacity (units/day), WhCapacities.csv. Log-min-max normalized: smallest plant = 100, largest = 0.</t>
        </is>
      </c>
      <c r="D6" s="10" t="inlineStr">
        <is>
          <t>log min-max</t>
        </is>
      </c>
      <c r="E6" s="10" t="inlineStr">
        <is>
          <t>Sub-scale sites cannot absorb fixed operating overhead (supervision, safety systems, IT, minimum manning). The Board concern "structurally unviable" is operationalized primarily on scale: a plant handling single-digit units/day has no standalone economic basis. Highest weight because scale is the least reversible structural fact.</t>
        </is>
      </c>
      <c r="F6" s="6" t="n"/>
      <c r="G6" s="6" t="n"/>
      <c r="H6" s="6" t="n"/>
      <c r="I6" s="7" t="n"/>
    </row>
    <row r="7" ht="62" customHeight="1">
      <c r="A7" s="8" t="inlineStr">
        <is>
          <t>P2 - Unit-Cost Disadvantage</t>
        </is>
      </c>
      <c r="B7" s="9" t="n">
        <v>0.25</v>
      </c>
      <c r="C7" s="10" t="inlineStr">
        <is>
          <t>Cost_Per_Unit ($/unit), WhCosts.csv. Min-max normalized: highest-cost plant = 100.</t>
        </is>
      </c>
      <c r="D7" s="10" t="inlineStr">
        <is>
          <t>min-max</t>
        </is>
      </c>
      <c r="E7" s="10" t="inlineStr">
        <is>
          <t>Volume migrated to lower-cost facilities yields a direct, data-verified variable saving. Second-highest weight because it is fully observable in the provided data, but below P1 because unit-cost gaps can partly be managed in place (lean, automation).</t>
        </is>
      </c>
      <c r="F7" s="6" t="n"/>
      <c r="G7" s="6" t="n"/>
      <c r="H7" s="6" t="n"/>
      <c r="I7" s="7" t="n"/>
    </row>
    <row r="8" ht="62" customHeight="1">
      <c r="A8" s="8" t="inlineStr">
        <is>
          <t>P3 - Absorption Feasibility (topology)</t>
        </is>
      </c>
      <c r="B8" s="9" t="n">
        <v>0.2</v>
      </c>
      <c r="C8" s="10" t="inlineStr">
        <is>
          <t>Same-port absorber capacity: sum of Daily_Capacity of other plants sharing at least one port terminal (PlantPorts.csv), capped at 1,000 units/day = 100.</t>
        </is>
      </c>
      <c r="D8" s="10" t="inlineStr">
        <is>
          <t>min-max</t>
        </is>
      </c>
      <c r="E8" s="10" t="inlineStr">
        <is>
          <t>Port access is the binding network constraint: DTP/CRF volume can only be re-homed without re-contracting lanes when the receiving plant serves the same port terminal. Single-tenant-port plants (PLANT02/04/14/15/16/17/18) score 0 - closure forces cross-port freight re-routing.</t>
        </is>
      </c>
      <c r="F8" s="6" t="n"/>
      <c r="G8" s="6" t="n"/>
      <c r="H8" s="6" t="n"/>
      <c r="I8" s="7" t="n"/>
    </row>
    <row r="9" ht="62" customHeight="1">
      <c r="A9" s="8" t="inlineStr">
        <is>
          <t>P4 - Service Performance Deficit</t>
        </is>
      </c>
      <c r="B9" s="9" t="n">
        <v>0.15</v>
      </c>
      <c r="C9" s="10" t="inlineStr">
        <is>
          <t>Mean of three min-max normalized signals for plants covered by OrderList: late-shipment rate, complaint count (Q4 log), survey detractor rate (Would_Recommend = No). Plants without order/survey coverage carry a neutral prior of 50 (flagged, see Data_Reconciliation).</t>
        </is>
      </c>
      <c r="D9" s="10" t="inlineStr">
        <is>
          <t>min-max / prior</t>
        </is>
      </c>
      <c r="E9" s="10" t="inlineStr">
        <is>
          <t>Underperforming sites strengthen the consolidation case provided service is restored at receivers. Moderate weight: only 7 of 19 plants have service data, so this pillar cannot dominate the ranking.</t>
        </is>
      </c>
      <c r="F9" s="6" t="n"/>
      <c r="G9" s="6" t="n"/>
      <c r="H9" s="6" t="n"/>
      <c r="I9" s="7" t="n"/>
    </row>
    <row r="10" ht="62" customHeight="1">
      <c r="A10" s="8" t="inlineStr">
        <is>
          <t>P5 - Observed Flow Viability</t>
        </is>
      </c>
      <c r="B10" s="9" t="n">
        <v>0.1</v>
      </c>
      <c r="C10" s="10" t="inlineStr">
        <is>
          <t>Share of network order flow in OrderList (min-max: zero-share = 100, max-share = 0). Uncovered plants: neutral prior of 50.</t>
        </is>
      </c>
      <c r="D10" s="10" t="inlineStr">
        <is>
          <t>min-max / prior</t>
        </is>
      </c>
      <c r="E10" s="10" t="inlineStr">
        <is>
          <t>Near-zero observed throughput corroborates scale deficit. Lowest weight: the order extract covers a single day (26-May-13) and only 7 plants, so it is corroborating evidence, not a primary viability test.</t>
        </is>
      </c>
      <c r="F10" s="6" t="n"/>
      <c r="G10" s="6" t="n"/>
      <c r="H10" s="6" t="n"/>
      <c r="I10" s="7" t="n"/>
    </row>
    <row r="11">
      <c r="A11" s="11" t="inlineStr">
        <is>
          <t>Total</t>
        </is>
      </c>
      <c r="B11" s="12">
        <f>SUM($B$6:$B$10)</f>
        <v/>
      </c>
    </row>
    <row r="13">
      <c r="A13" s="3" t="inlineStr">
        <is>
          <t>B.  COMPOSITE RANKING - ALL 19 PLANTS  (column M = pre-calculated composite; column N = live Excel formula on the weight cells above for audit)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 ht="30" customHeight="1">
      <c r="A14" s="5" t="inlineStr">
        <is>
          <t>Rank</t>
        </is>
      </c>
      <c r="B14" s="5" t="inlineStr">
        <is>
          <t>Plant</t>
        </is>
      </c>
      <c r="C14" s="5" t="inlineStr">
        <is>
          <t>Port Terminal(s)</t>
        </is>
      </c>
      <c r="D14" s="5" t="inlineStr">
        <is>
          <t>Daily Capacity (units/day)</t>
        </is>
      </c>
      <c r="E14" s="5" t="inlineStr">
        <is>
          <t>Cost per Unit ($/unit)</t>
        </is>
      </c>
      <c r="F14" s="5" t="inlineStr">
        <is>
          <t>Same-Port Absorber Capacity (units/day)</t>
        </is>
      </c>
      <c r="G14" s="5" t="inlineStr">
        <is>
          <t>Order-Data Coverage</t>
        </is>
      </c>
      <c r="H14" s="5" t="inlineStr">
        <is>
          <t>P1 Scale (30%)</t>
        </is>
      </c>
      <c r="I14" s="5" t="inlineStr">
        <is>
          <t>P2 Cost (25%)</t>
        </is>
      </c>
      <c r="J14" s="5" t="inlineStr">
        <is>
          <t>P3 Absorption (20%)</t>
        </is>
      </c>
      <c r="K14" s="5" t="inlineStr">
        <is>
          <t>P4 Service (15%)</t>
        </is>
      </c>
      <c r="L14" s="5" t="inlineStr">
        <is>
          <t>P5 Flow (10%)</t>
        </is>
      </c>
      <c r="M14" s="5" t="inlineStr">
        <is>
          <t>Composite Score</t>
        </is>
      </c>
      <c r="N14" s="5" t="inlineStr">
        <is>
          <t>Live Formula Check</t>
        </is>
      </c>
      <c r="O14" s="5" t="inlineStr">
        <is>
          <t>Consolidation Tier</t>
        </is>
      </c>
    </row>
    <row r="15">
      <c r="A15" s="13" t="n">
        <v>1</v>
      </c>
      <c r="B15" s="14" t="inlineStr">
        <is>
          <t>PLANT08</t>
        </is>
      </c>
      <c r="C15" s="15" t="inlineStr">
        <is>
          <t>PORT04</t>
        </is>
      </c>
      <c r="D15" s="16" t="n">
        <v>14</v>
      </c>
      <c r="E15" s="17" t="n">
        <v>0.5228572991962216</v>
      </c>
      <c r="F15" s="16" t="n">
        <v>2062</v>
      </c>
      <c r="G15" s="18" t="inlineStr">
        <is>
          <t>COVERED (7 plants)</t>
        </is>
      </c>
      <c r="H15" s="19" t="n">
        <v>86.2</v>
      </c>
      <c r="I15" s="19" t="n">
        <v>9.1</v>
      </c>
      <c r="J15" s="19" t="n">
        <v>100</v>
      </c>
      <c r="K15" s="19" t="n">
        <v>83.3</v>
      </c>
      <c r="L15" s="19" t="n">
        <v>98.8</v>
      </c>
      <c r="M15" s="20" t="n">
        <v>70.5</v>
      </c>
      <c r="N15" s="21">
        <f>ROUND(H15*$B$6+I15*$B$7+J15*$B$8+K15*$B$9+L15*$B$10,1)</f>
        <v/>
      </c>
      <c r="O15" s="22" t="inlineStr">
        <is>
          <t>CANDIDATE</t>
        </is>
      </c>
    </row>
    <row r="16">
      <c r="A16" s="13" t="n">
        <v>2</v>
      </c>
      <c r="B16" s="14" t="inlineStr">
        <is>
          <t>PLANT19</t>
        </is>
      </c>
      <c r="C16" s="15" t="inlineStr">
        <is>
          <t>PORT04</t>
        </is>
      </c>
      <c r="D16" s="16" t="n">
        <v>7</v>
      </c>
      <c r="E16" s="17" t="n">
        <v>0.6397625198174935</v>
      </c>
      <c r="F16" s="16" t="n">
        <v>2069</v>
      </c>
      <c r="G16" s="18" t="inlineStr">
        <is>
          <t>NO ORDER/SURVEY DATA - priors used</t>
        </is>
      </c>
      <c r="H16" s="19" t="n">
        <v>100</v>
      </c>
      <c r="I16" s="19" t="n">
        <v>16.1</v>
      </c>
      <c r="J16" s="19" t="n">
        <v>100</v>
      </c>
      <c r="K16" s="19" t="n">
        <v>50</v>
      </c>
      <c r="L16" s="19" t="n">
        <v>50</v>
      </c>
      <c r="M16" s="20" t="n">
        <v>66.5</v>
      </c>
      <c r="N16" s="21">
        <f>ROUND(H16*$B$6+I16*$B$7+J16*$B$8+K16*$B$9+L16*$B$10,1)</f>
        <v/>
      </c>
      <c r="O16" s="22" t="inlineStr">
        <is>
          <t>CANDIDATE</t>
        </is>
      </c>
    </row>
    <row r="17">
      <c r="A17" s="13" t="n">
        <v>3</v>
      </c>
      <c r="B17" s="14" t="inlineStr">
        <is>
          <t>PLANT09</t>
        </is>
      </c>
      <c r="C17" s="15" t="inlineStr">
        <is>
          <t>PORT04</t>
        </is>
      </c>
      <c r="D17" s="16" t="n">
        <v>11</v>
      </c>
      <c r="E17" s="17" t="n">
        <v>0.465071097382935</v>
      </c>
      <c r="F17" s="16" t="n">
        <v>2065</v>
      </c>
      <c r="G17" s="18" t="inlineStr">
        <is>
          <t>COVERED (7 plants)</t>
        </is>
      </c>
      <c r="H17" s="19" t="n">
        <v>91</v>
      </c>
      <c r="I17" s="19" t="n">
        <v>5.6</v>
      </c>
      <c r="J17" s="19" t="n">
        <v>100</v>
      </c>
      <c r="K17" s="19" t="n">
        <v>50</v>
      </c>
      <c r="L17" s="19" t="n">
        <v>99.90000000000001</v>
      </c>
      <c r="M17" s="20" t="n">
        <v>66.2</v>
      </c>
      <c r="N17" s="21">
        <f>ROUND(H17*$B$6+I17*$B$7+J17*$B$8+K17*$B$9+L17*$B$10,1)</f>
        <v/>
      </c>
      <c r="O17" s="22" t="inlineStr">
        <is>
          <t>CANDIDATE</t>
        </is>
      </c>
    </row>
    <row r="18">
      <c r="A18" s="13" t="n">
        <v>4</v>
      </c>
      <c r="B18" s="14" t="inlineStr">
        <is>
          <t>PLANT15</t>
        </is>
      </c>
      <c r="C18" s="15" t="inlineStr">
        <is>
          <t>PORT08</t>
        </is>
      </c>
      <c r="D18" s="16" t="n">
        <v>11</v>
      </c>
      <c r="E18" s="17" t="n">
        <v>1.415063376687657</v>
      </c>
      <c r="F18" s="16" t="n">
        <v>0</v>
      </c>
      <c r="G18" s="18" t="inlineStr">
        <is>
          <t>NO ORDER/SURVEY DATA - priors used</t>
        </is>
      </c>
      <c r="H18" s="19" t="n">
        <v>91</v>
      </c>
      <c r="I18" s="19" t="n">
        <v>62.7</v>
      </c>
      <c r="J18" s="19" t="n">
        <v>0</v>
      </c>
      <c r="K18" s="19" t="n">
        <v>50</v>
      </c>
      <c r="L18" s="19" t="n">
        <v>50</v>
      </c>
      <c r="M18" s="20" t="n">
        <v>55.5</v>
      </c>
      <c r="N18" s="21">
        <f>ROUND(H18*$B$6+I18*$B$7+J18*$B$8+K18*$B$9+L18*$B$10,1)</f>
        <v/>
      </c>
      <c r="O18" s="22" t="inlineStr">
        <is>
          <t>CANDIDATE</t>
        </is>
      </c>
    </row>
    <row r="19">
      <c r="A19" s="13" t="n">
        <v>5</v>
      </c>
      <c r="B19" s="14" t="inlineStr">
        <is>
          <t>PLANT18</t>
        </is>
      </c>
      <c r="C19" s="15" t="inlineStr">
        <is>
          <t>PORT11</t>
        </is>
      </c>
      <c r="D19" s="16" t="n">
        <v>111</v>
      </c>
      <c r="E19" s="17" t="n">
        <v>2.036253759803347</v>
      </c>
      <c r="F19" s="16" t="n">
        <v>0</v>
      </c>
      <c r="G19" s="18" t="inlineStr">
        <is>
          <t>NO ORDER/SURVEY DATA - priors used</t>
        </is>
      </c>
      <c r="H19" s="19" t="n">
        <v>45.1</v>
      </c>
      <c r="I19" s="19" t="n">
        <v>100</v>
      </c>
      <c r="J19" s="19" t="n">
        <v>0</v>
      </c>
      <c r="K19" s="19" t="n">
        <v>50</v>
      </c>
      <c r="L19" s="19" t="n">
        <v>50</v>
      </c>
      <c r="M19" s="20" t="n">
        <v>51</v>
      </c>
      <c r="N19" s="21">
        <f>ROUND(H19*$B$6+I19*$B$7+J19*$B$8+K19*$B$9+L19*$B$10,1)</f>
        <v/>
      </c>
      <c r="O19" s="22" t="inlineStr">
        <is>
          <t>CANDIDATE</t>
        </is>
      </c>
    </row>
    <row r="20">
      <c r="A20" s="23" t="n">
        <v>6</v>
      </c>
      <c r="B20" s="11" t="inlineStr">
        <is>
          <t>PLANT10</t>
        </is>
      </c>
      <c r="C20" s="24" t="inlineStr">
        <is>
          <t>PORT01, PORT02</t>
        </is>
      </c>
      <c r="D20" s="25" t="n">
        <v>118</v>
      </c>
      <c r="E20" s="26" t="n">
        <v>0.4935818984829453</v>
      </c>
      <c r="F20" s="25" t="n">
        <v>1335</v>
      </c>
      <c r="G20" s="27" t="inlineStr">
        <is>
          <t>NO ORDER/SURVEY DATA - priors used</t>
        </is>
      </c>
      <c r="H20" s="28" t="n">
        <v>43.8</v>
      </c>
      <c r="I20" s="28" t="n">
        <v>7.3</v>
      </c>
      <c r="J20" s="28" t="n">
        <v>100</v>
      </c>
      <c r="K20" s="28" t="n">
        <v>50</v>
      </c>
      <c r="L20" s="28" t="n">
        <v>50</v>
      </c>
      <c r="M20" s="29" t="n">
        <v>47.5</v>
      </c>
      <c r="N20" s="30">
        <f>ROUND(H20*$B$6+I20*$B$7+J20*$B$8+K20*$B$9+L20*$B$10,1)</f>
        <v/>
      </c>
      <c r="O20" s="31" t="inlineStr">
        <is>
          <t>WATCHLIST</t>
        </is>
      </c>
    </row>
    <row r="21">
      <c r="A21" s="23" t="n">
        <v>7</v>
      </c>
      <c r="B21" s="11" t="inlineStr">
        <is>
          <t>PLANT12</t>
        </is>
      </c>
      <c r="C21" s="24" t="inlineStr">
        <is>
          <t>PORT04</t>
        </is>
      </c>
      <c r="D21" s="25" t="n">
        <v>209</v>
      </c>
      <c r="E21" s="26" t="n">
        <v>0.7731317943178858</v>
      </c>
      <c r="F21" s="25" t="n">
        <v>1867</v>
      </c>
      <c r="G21" s="27" t="inlineStr">
        <is>
          <t>COVERED (7 plants)</t>
        </is>
      </c>
      <c r="H21" s="28" t="n">
        <v>32.5</v>
      </c>
      <c r="I21" s="28" t="n">
        <v>24.1</v>
      </c>
      <c r="J21" s="28" t="n">
        <v>100</v>
      </c>
      <c r="K21" s="28" t="n">
        <v>8.300000000000001</v>
      </c>
      <c r="L21" s="28" t="n">
        <v>96.5</v>
      </c>
      <c r="M21" s="29" t="n">
        <v>46.7</v>
      </c>
      <c r="N21" s="30">
        <f>ROUND(H21*$B$6+I21*$B$7+J21*$B$8+K21*$B$9+L21*$B$10,1)</f>
        <v/>
      </c>
      <c r="O21" s="31" t="inlineStr">
        <is>
          <t>WATCHLIST</t>
        </is>
      </c>
    </row>
    <row r="22">
      <c r="A22" s="23" t="n">
        <v>8</v>
      </c>
      <c r="B22" s="11" t="inlineStr">
        <is>
          <t>PLANT17</t>
        </is>
      </c>
      <c r="C22" s="24" t="inlineStr">
        <is>
          <t>PORT10</t>
        </is>
      </c>
      <c r="D22" s="25" t="n">
        <v>8</v>
      </c>
      <c r="E22" s="26" t="n">
        <v>0.4289465870892117</v>
      </c>
      <c r="F22" s="25" t="n">
        <v>0</v>
      </c>
      <c r="G22" s="27" t="inlineStr">
        <is>
          <t>NO ORDER/SURVEY DATA - priors used</t>
        </is>
      </c>
      <c r="H22" s="28" t="n">
        <v>97.3</v>
      </c>
      <c r="I22" s="28" t="n">
        <v>3.5</v>
      </c>
      <c r="J22" s="28" t="n">
        <v>0</v>
      </c>
      <c r="K22" s="28" t="n">
        <v>50</v>
      </c>
      <c r="L22" s="28" t="n">
        <v>50</v>
      </c>
      <c r="M22" s="29" t="n">
        <v>42.6</v>
      </c>
      <c r="N22" s="30">
        <f>ROUND(H22*$B$6+I22*$B$7+J22*$B$8+K22*$B$9+L22*$B$10,1)</f>
        <v/>
      </c>
      <c r="O22" s="31" t="inlineStr">
        <is>
          <t>WATCHLIST</t>
        </is>
      </c>
    </row>
    <row r="23">
      <c r="A23" s="23" t="n">
        <v>9</v>
      </c>
      <c r="B23" s="11" t="inlineStr">
        <is>
          <t>PLANT11</t>
        </is>
      </c>
      <c r="C23" s="24" t="inlineStr">
        <is>
          <t>PORT04</t>
        </is>
      </c>
      <c r="D23" s="25" t="n">
        <v>332</v>
      </c>
      <c r="E23" s="26" t="n">
        <v>0.5552472904512042</v>
      </c>
      <c r="F23" s="25" t="n">
        <v>1744</v>
      </c>
      <c r="G23" s="27" t="inlineStr">
        <is>
          <t>NO ORDER/SURVEY DATA - priors used</t>
        </is>
      </c>
      <c r="H23" s="28" t="n">
        <v>23.3</v>
      </c>
      <c r="I23" s="28" t="n">
        <v>11</v>
      </c>
      <c r="J23" s="28" t="n">
        <v>100</v>
      </c>
      <c r="K23" s="28" t="n">
        <v>50</v>
      </c>
      <c r="L23" s="28" t="n">
        <v>50</v>
      </c>
      <c r="M23" s="29" t="n">
        <v>42.2</v>
      </c>
      <c r="N23" s="30">
        <f>ROUND(H23*$B$6+I23*$B$7+J23*$B$8+K23*$B$9+L23*$B$10,1)</f>
        <v/>
      </c>
      <c r="O23" s="31" t="inlineStr">
        <is>
          <t>WATCHLIST</t>
        </is>
      </c>
    </row>
    <row r="24">
      <c r="A24" s="23" t="n">
        <v>10</v>
      </c>
      <c r="B24" s="11" t="inlineStr">
        <is>
          <t>PLANT06</t>
        </is>
      </c>
      <c r="C24" s="24" t="inlineStr">
        <is>
          <t>PORT06</t>
        </is>
      </c>
      <c r="D24" s="25" t="n">
        <v>49</v>
      </c>
      <c r="E24" s="26" t="n">
        <v>0.5540880976257885</v>
      </c>
      <c r="F24" s="25" t="n">
        <v>385</v>
      </c>
      <c r="G24" s="27" t="inlineStr">
        <is>
          <t>NO ORDER/SURVEY DATA - priors used</t>
        </is>
      </c>
      <c r="H24" s="28" t="n">
        <v>61.3</v>
      </c>
      <c r="I24" s="28" t="n">
        <v>11</v>
      </c>
      <c r="J24" s="28" t="n">
        <v>38.5</v>
      </c>
      <c r="K24" s="28" t="n">
        <v>50</v>
      </c>
      <c r="L24" s="28" t="n">
        <v>50</v>
      </c>
      <c r="M24" s="29" t="n">
        <v>41.3</v>
      </c>
      <c r="N24" s="30">
        <f>ROUND(H24*$B$6+I24*$B$7+J24*$B$8+K24*$B$9+L24*$B$10,1)</f>
        <v/>
      </c>
      <c r="O24" s="31" t="inlineStr">
        <is>
          <t>WATCHLIST</t>
        </is>
      </c>
    </row>
    <row r="25">
      <c r="A25" s="23" t="n">
        <v>11</v>
      </c>
      <c r="B25" s="11" t="inlineStr">
        <is>
          <t>PLANT07</t>
        </is>
      </c>
      <c r="C25" s="24" t="inlineStr">
        <is>
          <t>PORT01, PORT02</t>
        </is>
      </c>
      <c r="D25" s="25" t="n">
        <v>265</v>
      </c>
      <c r="E25" s="26" t="n">
        <v>0.371423937425446</v>
      </c>
      <c r="F25" s="25" t="n">
        <v>1188</v>
      </c>
      <c r="G25" s="27" t="inlineStr">
        <is>
          <t>NO ORDER/SURVEY DATA - priors used</t>
        </is>
      </c>
      <c r="H25" s="28" t="n">
        <v>27.7</v>
      </c>
      <c r="I25" s="28" t="n">
        <v>0</v>
      </c>
      <c r="J25" s="28" t="n">
        <v>100</v>
      </c>
      <c r="K25" s="28" t="n">
        <v>50</v>
      </c>
      <c r="L25" s="28" t="n">
        <v>50</v>
      </c>
      <c r="M25" s="29" t="n">
        <v>40.8</v>
      </c>
      <c r="N25" s="30">
        <f>ROUND(H25*$B$6+I25*$B$7+J25*$B$8+K25*$B$9+L25*$B$10,1)</f>
        <v/>
      </c>
      <c r="O25" s="31" t="inlineStr">
        <is>
          <t>RETAIN</t>
        </is>
      </c>
    </row>
    <row r="26">
      <c r="A26" s="23" t="n">
        <v>12</v>
      </c>
      <c r="B26" s="11" t="inlineStr">
        <is>
          <t>PLANT16</t>
        </is>
      </c>
      <c r="C26" s="24" t="inlineStr">
        <is>
          <t>PORT09</t>
        </is>
      </c>
      <c r="D26" s="25" t="n">
        <v>457</v>
      </c>
      <c r="E26" s="26" t="n">
        <v>1.919807507852433</v>
      </c>
      <c r="F26" s="25" t="n">
        <v>0</v>
      </c>
      <c r="G26" s="27" t="inlineStr">
        <is>
          <t>COVERED (7 plants)</t>
        </is>
      </c>
      <c r="H26" s="28" t="n">
        <v>16.9</v>
      </c>
      <c r="I26" s="28" t="n">
        <v>93</v>
      </c>
      <c r="J26" s="28" t="n">
        <v>0</v>
      </c>
      <c r="K26" s="28" t="n">
        <v>8.300000000000001</v>
      </c>
      <c r="L26" s="28" t="n">
        <v>98</v>
      </c>
      <c r="M26" s="29" t="n">
        <v>39.4</v>
      </c>
      <c r="N26" s="30">
        <f>ROUND(H26*$B$6+I26*$B$7+J26*$B$8+K26*$B$9+L26*$B$10,1)</f>
        <v/>
      </c>
      <c r="O26" s="31" t="inlineStr">
        <is>
          <t>RETAIN</t>
        </is>
      </c>
    </row>
    <row r="27">
      <c r="A27" s="23" t="n">
        <v>13</v>
      </c>
      <c r="B27" s="11" t="inlineStr">
        <is>
          <t>PLANT13</t>
        </is>
      </c>
      <c r="C27" s="24" t="inlineStr">
        <is>
          <t>PORT04</t>
        </is>
      </c>
      <c r="D27" s="25" t="n">
        <v>490</v>
      </c>
      <c r="E27" s="26" t="n">
        <v>0.469707056581513</v>
      </c>
      <c r="F27" s="25" t="n">
        <v>1586</v>
      </c>
      <c r="G27" s="27" t="inlineStr">
        <is>
          <t>COVERED (7 plants)</t>
        </is>
      </c>
      <c r="H27" s="28" t="n">
        <v>15.5</v>
      </c>
      <c r="I27" s="28" t="n">
        <v>5.9</v>
      </c>
      <c r="J27" s="28" t="n">
        <v>100</v>
      </c>
      <c r="K27" s="28" t="n">
        <v>8.300000000000001</v>
      </c>
      <c r="L27" s="28" t="n">
        <v>99</v>
      </c>
      <c r="M27" s="29" t="n">
        <v>37.3</v>
      </c>
      <c r="N27" s="30">
        <f>ROUND(H27*$B$6+I27*$B$7+J27*$B$8+K27*$B$9+L27*$B$10,1)</f>
        <v/>
      </c>
      <c r="O27" s="31" t="inlineStr">
        <is>
          <t>RETAIN</t>
        </is>
      </c>
    </row>
    <row r="28">
      <c r="A28" s="23" t="n">
        <v>14</v>
      </c>
      <c r="B28" s="11" t="inlineStr">
        <is>
          <t>PLANT03</t>
        </is>
      </c>
      <c r="C28" s="24" t="inlineStr">
        <is>
          <t>PORT04</t>
        </is>
      </c>
      <c r="D28" s="25" t="n">
        <v>1013</v>
      </c>
      <c r="E28" s="26" t="n">
        <v>0.5175018916254618</v>
      </c>
      <c r="F28" s="25" t="n">
        <v>1063</v>
      </c>
      <c r="G28" s="27" t="inlineStr">
        <is>
          <t>COVERED (7 plants)</t>
        </is>
      </c>
      <c r="H28" s="28" t="n">
        <v>1.1</v>
      </c>
      <c r="I28" s="28" t="n">
        <v>8.800000000000001</v>
      </c>
      <c r="J28" s="28" t="n">
        <v>100</v>
      </c>
      <c r="K28" s="28" t="n">
        <v>42.7</v>
      </c>
      <c r="L28" s="28" t="n">
        <v>0</v>
      </c>
      <c r="M28" s="29" t="n">
        <v>28.9</v>
      </c>
      <c r="N28" s="30">
        <f>ROUND(H28*$B$6+I28*$B$7+J28*$B$8+K28*$B$9+L28*$B$10,1)</f>
        <v/>
      </c>
      <c r="O28" s="31" t="inlineStr">
        <is>
          <t>RETAIN</t>
        </is>
      </c>
    </row>
    <row r="29">
      <c r="A29" s="23" t="n">
        <v>15</v>
      </c>
      <c r="B29" s="11" t="inlineStr">
        <is>
          <t>PLANT02</t>
        </is>
      </c>
      <c r="C29" s="24" t="inlineStr">
        <is>
          <t>PORT03</t>
        </is>
      </c>
      <c r="D29" s="25" t="n">
        <v>138</v>
      </c>
      <c r="E29" s="26" t="n">
        <v>0.4775035189272224</v>
      </c>
      <c r="F29" s="25" t="n">
        <v>0</v>
      </c>
      <c r="G29" s="27" t="inlineStr">
        <is>
          <t>NO ORDER/SURVEY DATA - priors used</t>
        </is>
      </c>
      <c r="H29" s="28" t="n">
        <v>40.7</v>
      </c>
      <c r="I29" s="28" t="n">
        <v>6.4</v>
      </c>
      <c r="J29" s="28" t="n">
        <v>0</v>
      </c>
      <c r="K29" s="28" t="n">
        <v>50</v>
      </c>
      <c r="L29" s="28" t="n">
        <v>50</v>
      </c>
      <c r="M29" s="29" t="n">
        <v>26.3</v>
      </c>
      <c r="N29" s="30">
        <f>ROUND(H29*$B$6+I29*$B$7+J29*$B$8+K29*$B$9+L29*$B$10,1)</f>
        <v/>
      </c>
      <c r="O29" s="31" t="inlineStr">
        <is>
          <t>RETAIN</t>
        </is>
      </c>
    </row>
    <row r="30">
      <c r="A30" s="23" t="n">
        <v>16</v>
      </c>
      <c r="B30" s="11" t="inlineStr">
        <is>
          <t>PLANT01</t>
        </is>
      </c>
      <c r="C30" s="24" t="inlineStr">
        <is>
          <t>PORT01, PORT02</t>
        </is>
      </c>
      <c r="D30" s="25" t="n">
        <v>1070</v>
      </c>
      <c r="E30" s="26" t="n">
        <v>0.5669761849295618</v>
      </c>
      <c r="F30" s="25" t="n">
        <v>383</v>
      </c>
      <c r="G30" s="27" t="inlineStr">
        <is>
          <t>NO ORDER/SURVEY DATA - priors used</t>
        </is>
      </c>
      <c r="H30" s="28" t="n">
        <v>0</v>
      </c>
      <c r="I30" s="28" t="n">
        <v>11.7</v>
      </c>
      <c r="J30" s="28" t="n">
        <v>38.3</v>
      </c>
      <c r="K30" s="28" t="n">
        <v>50</v>
      </c>
      <c r="L30" s="28" t="n">
        <v>50</v>
      </c>
      <c r="M30" s="29" t="n">
        <v>23.1</v>
      </c>
      <c r="N30" s="30">
        <f>ROUND(H30*$B$6+I30*$B$7+J30*$B$8+K30*$B$9+L30*$B$10,1)</f>
        <v/>
      </c>
      <c r="O30" s="31" t="inlineStr">
        <is>
          <t>RETAIN</t>
        </is>
      </c>
    </row>
    <row r="31">
      <c r="A31" s="23" t="n">
        <v>17</v>
      </c>
      <c r="B31" s="11" t="inlineStr">
        <is>
          <t>PLANT05</t>
        </is>
      </c>
      <c r="C31" s="24" t="inlineStr">
        <is>
          <t>PORT06</t>
        </is>
      </c>
      <c r="D31" s="25" t="n">
        <v>385</v>
      </c>
      <c r="E31" s="26" t="n">
        <v>0.4881443845273827</v>
      </c>
      <c r="F31" s="25" t="n">
        <v>49</v>
      </c>
      <c r="G31" s="27" t="inlineStr">
        <is>
          <t>NO ORDER/SURVEY DATA - priors used</t>
        </is>
      </c>
      <c r="H31" s="28" t="n">
        <v>20.3</v>
      </c>
      <c r="I31" s="28" t="n">
        <v>7</v>
      </c>
      <c r="J31" s="28" t="n">
        <v>4.9</v>
      </c>
      <c r="K31" s="28" t="n">
        <v>50</v>
      </c>
      <c r="L31" s="28" t="n">
        <v>50</v>
      </c>
      <c r="M31" s="29" t="n">
        <v>21.3</v>
      </c>
      <c r="N31" s="30">
        <f>ROUND(H31*$B$6+I31*$B$7+J31*$B$8+K31*$B$9+L31*$B$10,1)</f>
        <v/>
      </c>
      <c r="O31" s="31" t="inlineStr">
        <is>
          <t>RETAIN</t>
        </is>
      </c>
    </row>
    <row r="32">
      <c r="A32" s="23" t="n">
        <v>18</v>
      </c>
      <c r="B32" s="11" t="inlineStr">
        <is>
          <t>PLANT14</t>
        </is>
      </c>
      <c r="C32" s="24" t="inlineStr">
        <is>
          <t>PORT07</t>
        </is>
      </c>
      <c r="D32" s="25" t="n">
        <v>549</v>
      </c>
      <c r="E32" s="26" t="n">
        <v>0.6343297377046666</v>
      </c>
      <c r="F32" s="25" t="n">
        <v>0</v>
      </c>
      <c r="G32" s="27" t="inlineStr">
        <is>
          <t>NO ORDER/SURVEY DATA - priors used</t>
        </is>
      </c>
      <c r="H32" s="28" t="n">
        <v>13.3</v>
      </c>
      <c r="I32" s="28" t="n">
        <v>15.8</v>
      </c>
      <c r="J32" s="28" t="n">
        <v>0</v>
      </c>
      <c r="K32" s="28" t="n">
        <v>50</v>
      </c>
      <c r="L32" s="28" t="n">
        <v>50</v>
      </c>
      <c r="M32" s="29" t="n">
        <v>20.4</v>
      </c>
      <c r="N32" s="30">
        <f>ROUND(H32*$B$6+I32*$B$7+J32*$B$8+K32*$B$9+L32*$B$10,1)</f>
        <v/>
      </c>
      <c r="O32" s="31" t="inlineStr">
        <is>
          <t>RETAIN</t>
        </is>
      </c>
    </row>
    <row r="33">
      <c r="A33" s="23" t="n">
        <v>19</v>
      </c>
      <c r="B33" s="11" t="inlineStr">
        <is>
          <t>PLANT04</t>
        </is>
      </c>
      <c r="C33" s="24" t="inlineStr">
        <is>
          <t>PORT05</t>
        </is>
      </c>
      <c r="D33" s="25" t="n">
        <v>554</v>
      </c>
      <c r="E33" s="26" t="n">
        <v>0.4285032951482173</v>
      </c>
      <c r="F33" s="25" t="n">
        <v>0</v>
      </c>
      <c r="G33" s="27" t="inlineStr">
        <is>
          <t>COVERED (7 plants)</t>
        </is>
      </c>
      <c r="H33" s="28" t="n">
        <v>13.1</v>
      </c>
      <c r="I33" s="28" t="n">
        <v>3.4</v>
      </c>
      <c r="J33" s="28" t="n">
        <v>0</v>
      </c>
      <c r="K33" s="28" t="n">
        <v>0</v>
      </c>
      <c r="L33" s="28" t="n">
        <v>100</v>
      </c>
      <c r="M33" s="29" t="n">
        <v>14.8</v>
      </c>
      <c r="N33" s="30">
        <f>ROUND(H33*$B$6+I33*$B$7+J33*$B$8+K33*$B$9+L33*$B$10,1)</f>
        <v/>
      </c>
      <c r="O33" s="31" t="inlineStr">
        <is>
          <t>RETAIN</t>
        </is>
      </c>
    </row>
    <row r="35">
      <c r="A35" s="32" t="inlineStr">
        <is>
          <t>Method notes:</t>
        </is>
      </c>
    </row>
    <row r="36">
      <c r="A36" s="33" t="inlineStr">
        <is>
          <t>1. Pillar scores run 0-100; higher = stronger consolidation candidacy. Composite = Σ (weight × pillar); column M is pre-calculated at the weights in B6:B10 and column N re-derives it as a live Excel formula for audit - adjust the yellow weight cells to stress-test the ranking.</t>
        </is>
      </c>
    </row>
    <row r="37">
      <c r="A37" s="33" t="inlineStr">
        <is>
          <t>2. Coverage flag: only PLANT03/04/08/09/12/13/16 appear in the shipment extract (single day, 26-May-13), the Q4 survey and the complaint log. For the other 12 plants, P4/P5 carry a neutral prior of 50.0 and are labelled; this is the model’s principal limitation.</t>
        </is>
      </c>
    </row>
    <row r="38">
      <c r="A38" s="33" t="inlineStr">
        <is>
          <t>3. Sensitivity: replacing the neutral priors with the covered-network medians (P4 = 8.3, P5 = 98.8) changes no top-5 membership; PLANT18 remains the 5th candidate (score 50.5 vs 51.0). Ranking order within the top 5 is likewise stable.</t>
        </is>
      </c>
    </row>
    <row r="39">
      <c r="A39" s="33" t="inlineStr">
        <is>
          <t>4. P3 counts only same-port capacity because port access governs DTP/CRF routing; cross-port absorption is costed explicitly in Consolidation_Scenarios.</t>
        </is>
      </c>
    </row>
    <row r="40">
      <c r="A40" s="33" t="inlineStr">
        <is>
          <t>5. PLANT03’s absolute late-shipment count (174) and complaints (5) are the network’s largest but sit on 92.7% of order flow; P4/P5 are share-normalized so the model does not mechanically recommend closing the network’s anchor plant. PLANT03 service remediation is addressed separately in the COO workstream.</t>
        </is>
      </c>
    </row>
  </sheetData>
  <mergeCells count="6">
    <mergeCell ref="E7:I7"/>
    <mergeCell ref="E6:I6"/>
    <mergeCell ref="E10:I10"/>
    <mergeCell ref="E5:I5"/>
    <mergeCell ref="E8:I8"/>
    <mergeCell ref="E9:I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46" customWidth="1" min="9" max="9"/>
  </cols>
  <sheetData>
    <row r="1">
      <c r="A1" s="1" t="inlineStr">
        <is>
          <t>CONSOLIDATION SCENARIOS - VOLUME REDISTRIBUTION &amp; NET COST IMPACT</t>
        </is>
      </c>
    </row>
    <row r="2">
      <c r="A2" s="2" t="inlineStr">
        <is>
          <t>Topology-constrained redistribution for the five candidate plants. Port access (PlantPorts.csv) determines eligible absorbers; absorbers must share the candidate’s port terminal, otherwise volume moves cross-port at the freight-rate differential from FreightRates.csv. Allocation is greedy cheapest-first on total landed unit cost, joint across all five closures, subject to absorber headroom.</t>
        </is>
      </c>
    </row>
    <row r="4">
      <c r="A4" s="3" t="inlineStr">
        <is>
          <t>A.  SCENARIO ASSUMPTIONS  (yellow cells are inputs; change to stress-test)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11" t="inlineStr">
        <is>
          <t>Absorber utilization ceiling</t>
        </is>
      </c>
      <c r="B5" s="34" t="n">
        <v>0.85</v>
      </c>
      <c r="C5" s="10" t="inlineStr">
        <is>
          <t>Absorbers may be loaded to 85% of stated Daily_Capacity</t>
        </is>
      </c>
      <c r="D5" s="6" t="n"/>
      <c r="E5" s="6" t="n"/>
      <c r="F5" s="6" t="n"/>
      <c r="G5" s="6" t="n"/>
      <c r="H5" s="6" t="n"/>
      <c r="I5" s="7" t="n"/>
    </row>
    <row r="6">
      <c r="A6" s="11" t="inlineStr">
        <is>
          <t>Assumed current absorber utilization</t>
        </is>
      </c>
      <c r="B6" s="34" t="n">
        <v>0.7</v>
      </c>
      <c r="C6" s="10" t="inlineStr">
        <is>
          <t>Baseline loading assumed for absorbers (not observable in extract)</t>
        </is>
      </c>
      <c r="D6" s="6" t="n"/>
      <c r="E6" s="6" t="n"/>
      <c r="F6" s="6" t="n"/>
      <c r="G6" s="6" t="n"/>
      <c r="H6" s="6" t="n"/>
      <c r="I6" s="7" t="n"/>
    </row>
    <row r="7">
      <c r="A7" s="11" t="inlineStr">
        <is>
          <t>Absorber headroom fraction</t>
        </is>
      </c>
      <c r="B7" s="34">
        <f>B5-B6</f>
        <v/>
      </c>
      <c r="C7" s="10" t="inlineStr">
        <is>
          <t>Usable spare capacity = ceiling - current utilization</t>
        </is>
      </c>
      <c r="D7" s="6" t="n"/>
      <c r="E7" s="6" t="n"/>
      <c r="F7" s="6" t="n"/>
      <c r="G7" s="6" t="n"/>
      <c r="H7" s="6" t="n"/>
      <c r="I7" s="7" t="n"/>
    </row>
    <row r="8">
      <c r="A8" s="11" t="inlineStr">
        <is>
          <t>Annualization (operating days)</t>
        </is>
      </c>
      <c r="B8" s="35" t="n">
        <v>365</v>
      </c>
      <c r="C8" s="10" t="inlineStr">
        <is>
          <t>Daily deltas annualized at 365 days</t>
        </is>
      </c>
      <c r="D8" s="6" t="n"/>
      <c r="E8" s="6" t="n"/>
      <c r="F8" s="6" t="n"/>
      <c r="G8" s="6" t="n"/>
      <c r="H8" s="6" t="n"/>
      <c r="I8" s="7" t="n"/>
    </row>
    <row r="9">
      <c r="A9" s="11" t="inlineStr">
        <is>
          <t>Median units per shipment (OrderList)</t>
        </is>
      </c>
      <c r="B9" s="35" t="n">
        <v>477</v>
      </c>
      <c r="C9" s="10" t="inlineStr">
        <is>
          <t>Basis for converting units/day into shipments/day</t>
        </is>
      </c>
      <c r="D9" s="6" t="n"/>
      <c r="E9" s="6" t="n"/>
      <c r="F9" s="6" t="n"/>
      <c r="G9" s="6" t="n"/>
      <c r="H9" s="6" t="n"/>
      <c r="I9" s="7" t="n"/>
    </row>
    <row r="10">
      <c r="A10" s="11" t="inlineStr">
        <is>
          <t>Fixed-cost saving per closed site - LOW ($/yr)</t>
        </is>
      </c>
      <c r="B10" s="35" t="n">
        <v>150000</v>
      </c>
      <c r="C10" s="10" t="inlineStr">
        <is>
          <t>ASSUMPTION: WhCosts.csv contains no fixed-cost component (see Data_Reconciliation F-07). Range pending Finance validation.</t>
        </is>
      </c>
      <c r="D10" s="6" t="n"/>
      <c r="E10" s="6" t="n"/>
      <c r="F10" s="6" t="n"/>
      <c r="G10" s="6" t="n"/>
      <c r="H10" s="6" t="n"/>
      <c r="I10" s="7" t="n"/>
    </row>
    <row r="11">
      <c r="A11" s="11" t="inlineStr">
        <is>
          <t>Fixed-cost saving per closed site - HIGH ($/yr)</t>
        </is>
      </c>
      <c r="B11" s="35" t="n">
        <v>400000</v>
      </c>
      <c r="C11" s="10" t="inlineStr">
        <is>
          <t>ASSUMPTION: upper benchmark for fixed-cost removal per micro-site.</t>
        </is>
      </c>
      <c r="D11" s="6" t="n"/>
      <c r="E11" s="6" t="n"/>
      <c r="F11" s="6" t="n"/>
      <c r="G11" s="6" t="n"/>
      <c r="H11" s="6" t="n"/>
      <c r="I11" s="7" t="n"/>
    </row>
    <row r="12">
      <c r="A12" s="11" t="inlineStr">
        <is>
          <t>One-time transition cost per site - LOW ($)</t>
        </is>
      </c>
      <c r="B12" s="35" t="n">
        <v>100000</v>
      </c>
      <c r="C12" s="10" t="inlineStr">
        <is>
          <t>ASSUMPTION: inventory transfer, re-slotting, equipment relocation, IT cut-over.</t>
        </is>
      </c>
      <c r="D12" s="6" t="n"/>
      <c r="E12" s="6" t="n"/>
      <c r="F12" s="6" t="n"/>
      <c r="G12" s="6" t="n"/>
      <c r="H12" s="6" t="n"/>
      <c r="I12" s="7" t="n"/>
    </row>
    <row r="13">
      <c r="A13" s="11" t="inlineStr">
        <is>
          <t>One-time transition cost per site - HIGH ($)</t>
        </is>
      </c>
      <c r="B13" s="35" t="n">
        <v>250000</v>
      </c>
      <c r="C13" s="10" t="inlineStr">
        <is>
          <t>ASSUMPTION: upper bound incl. accelerated attrition contingency.</t>
        </is>
      </c>
      <c r="D13" s="6" t="n"/>
      <c r="E13" s="6" t="n"/>
      <c r="F13" s="6" t="n"/>
      <c r="G13" s="6" t="n"/>
      <c r="H13" s="6" t="n"/>
      <c r="I13" s="7" t="n"/>
    </row>
    <row r="15">
      <c r="A15" s="3" t="inlineStr">
        <is>
          <t>B.  LANE ECONOMICS REFERENCE  (AIR lanes to PORT09; average cost per shipment derived by applying each lane’s weight-slab rate card to the observed OrderList weight distribution, median 4.44 kg; all rated carriers averaged)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5" t="inlineStr">
        <is>
          <t>Origin Port</t>
        </is>
      </c>
      <c r="B16" s="5" t="inlineStr">
        <is>
          <t>Serving Plants</t>
        </is>
      </c>
      <c r="C16" s="5" t="inlineStr">
        <is>
          <t>Avg Cost / Shipment ($)</t>
        </is>
      </c>
      <c r="D16" s="5" t="inlineStr">
        <is>
          <t>Avg Cost / kg ($)</t>
        </is>
      </c>
      <c r="E16" s="5" t="inlineStr">
        <is>
          <t>Avg Transit (days)</t>
        </is>
      </c>
      <c r="F16" s="5" t="inlineStr">
        <is>
          <t>Note</t>
        </is>
      </c>
    </row>
    <row r="17">
      <c r="A17" s="11" t="inlineStr">
        <is>
          <t>PORT02</t>
        </is>
      </c>
      <c r="B17" s="10" t="inlineStr">
        <is>
          <t>PLANT01, PLANT07, PLANT10</t>
        </is>
      </c>
      <c r="C17" s="36" t="n">
        <v>15.92</v>
      </c>
      <c r="D17" s="36" t="n">
        <v>15.1</v>
      </c>
      <c r="E17" s="28" t="n">
        <v>1.62</v>
      </c>
      <c r="F17" s="27" t="inlineStr">
        <is>
          <t>Rate card present</t>
        </is>
      </c>
    </row>
    <row r="18">
      <c r="A18" s="11" t="inlineStr">
        <is>
          <t>PORT03</t>
        </is>
      </c>
      <c r="B18" s="10" t="inlineStr">
        <is>
          <t>PLANT02</t>
        </is>
      </c>
      <c r="C18" s="36" t="n">
        <v>27.3</v>
      </c>
      <c r="D18" s="36" t="n">
        <v>34.55</v>
      </c>
      <c r="E18" s="28" t="n">
        <v>5.25</v>
      </c>
      <c r="F18" s="27" t="inlineStr">
        <is>
          <t>Rate card present</t>
        </is>
      </c>
    </row>
    <row r="19">
      <c r="A19" s="11" t="inlineStr">
        <is>
          <t>PORT04</t>
        </is>
      </c>
      <c r="B19" s="10" t="inlineStr">
        <is>
          <t>PLANT03, PLANT08, PLANT09, PLANT11, PLANT12, PLANT13, PLANT19</t>
        </is>
      </c>
      <c r="C19" s="36" t="n">
        <v>16.06</v>
      </c>
      <c r="D19" s="36" t="n">
        <v>11.91</v>
      </c>
      <c r="E19" s="28" t="n">
        <v>1.58</v>
      </c>
      <c r="F19" s="27" t="inlineStr">
        <is>
          <t>Rate card present</t>
        </is>
      </c>
    </row>
    <row r="20">
      <c r="A20" s="11" t="inlineStr">
        <is>
          <t>PORT05</t>
        </is>
      </c>
      <c r="B20" s="10" t="inlineStr">
        <is>
          <t>PLANT04</t>
        </is>
      </c>
      <c r="C20" s="36" t="n">
        <v>15.26</v>
      </c>
      <c r="D20" s="36" t="n">
        <v>6.26</v>
      </c>
      <c r="E20" s="28" t="n">
        <v>1.27</v>
      </c>
      <c r="F20" s="27" t="inlineStr">
        <is>
          <t>Rate card present</t>
        </is>
      </c>
    </row>
    <row r="21">
      <c r="A21" s="11" t="inlineStr">
        <is>
          <t>PORT06</t>
        </is>
      </c>
      <c r="B21" s="10" t="inlineStr">
        <is>
          <t>PLANT05, PLANT06</t>
        </is>
      </c>
      <c r="C21" s="36" t="n">
        <v>18.06</v>
      </c>
      <c r="D21" s="36" t="n">
        <v>8.26</v>
      </c>
      <c r="E21" s="28" t="n">
        <v>1.99</v>
      </c>
      <c r="F21" s="27" t="inlineStr">
        <is>
          <t>Rate card present</t>
        </is>
      </c>
    </row>
    <row r="22">
      <c r="A22" s="11" t="inlineStr">
        <is>
          <t>PORT07</t>
        </is>
      </c>
      <c r="B22" s="10" t="inlineStr">
        <is>
          <t>PLANT14</t>
        </is>
      </c>
      <c r="C22" s="36" t="n">
        <v>20.15</v>
      </c>
      <c r="D22" s="36" t="n">
        <v>25.65</v>
      </c>
      <c r="E22" s="28" t="n">
        <v>4.5</v>
      </c>
      <c r="F22" s="27" t="inlineStr">
        <is>
          <t>Rate card present</t>
        </is>
      </c>
    </row>
    <row r="23">
      <c r="A23" s="11" t="inlineStr">
        <is>
          <t>PORT08</t>
        </is>
      </c>
      <c r="B23" s="10" t="inlineStr">
        <is>
          <t>PLANT15</t>
        </is>
      </c>
      <c r="C23" s="36" t="n">
        <v>100.46</v>
      </c>
      <c r="D23" s="36" t="n">
        <v>133.56</v>
      </c>
      <c r="E23" s="28" t="n">
        <v>4.82</v>
      </c>
      <c r="F23" s="27" t="inlineStr">
        <is>
          <t>Rate card present</t>
        </is>
      </c>
    </row>
    <row r="24">
      <c r="A24" s="11" t="inlineStr">
        <is>
          <t>PORT09</t>
        </is>
      </c>
      <c r="B24" s="10" t="inlineStr">
        <is>
          <t>PLANT16</t>
        </is>
      </c>
      <c r="C24" s="36" t="n">
        <v>23.58</v>
      </c>
      <c r="D24" s="36" t="n">
        <v>31.97</v>
      </c>
      <c r="E24" s="28" t="n">
        <v>5.25</v>
      </c>
      <c r="F24" s="27" t="inlineStr">
        <is>
          <t>Rate card present</t>
        </is>
      </c>
    </row>
    <row r="25">
      <c r="A25" s="11" t="inlineStr">
        <is>
          <t>PORT10</t>
        </is>
      </c>
      <c r="B25" s="10" t="inlineStr">
        <is>
          <t>PLANT17</t>
        </is>
      </c>
      <c r="C25" s="36" t="n">
        <v>36.45</v>
      </c>
      <c r="D25" s="36" t="n">
        <v>22.78</v>
      </c>
      <c r="E25" s="28" t="n">
        <v>3.17</v>
      </c>
      <c r="F25" s="27" t="inlineStr">
        <is>
          <t>Rate card present</t>
        </is>
      </c>
    </row>
    <row r="26">
      <c r="A26" s="11" t="inlineStr">
        <is>
          <t>PORT11</t>
        </is>
      </c>
      <c r="B26" s="10" t="inlineStr">
        <is>
          <t>PLANT18</t>
        </is>
      </c>
      <c r="C26" s="36" t="n">
        <v>16.01</v>
      </c>
      <c r="D26" s="36" t="n">
        <v>20.86</v>
      </c>
      <c r="E26" s="28" t="n">
        <v>5.29</v>
      </c>
      <c r="F26" s="27" t="inlineStr">
        <is>
          <t>Rate card present</t>
        </is>
      </c>
    </row>
    <row r="28">
      <c r="A28" s="37" t="inlineStr">
        <is>
          <t>CANDIDATE PLANT08   |   Composite rank #1   |   Port terminal: PORT04   |   Same-port absorbers available</t>
        </is>
      </c>
      <c r="B28" s="38" t="n"/>
      <c r="C28" s="38" t="n"/>
      <c r="D28" s="38" t="n"/>
      <c r="E28" s="38" t="n"/>
      <c r="F28" s="38" t="n"/>
      <c r="G28" s="38" t="n"/>
      <c r="H28" s="38" t="n"/>
      <c r="I28" s="38" t="n"/>
    </row>
    <row r="29">
      <c r="A29" s="39" t="inlineStr">
        <is>
          <t>Volume basis: stated daily capacity 14 units/day (memo treats capacity as throughput; order extract cannot validate - see Data_Reconciliation). Observed order flow in extract: 102 orders / 277,008 units on 26-May-13.</t>
        </is>
      </c>
      <c r="B29" s="6" t="n"/>
      <c r="C29" s="6" t="n"/>
      <c r="D29" s="6" t="n"/>
      <c r="E29" s="6" t="n"/>
      <c r="F29" s="6" t="n"/>
      <c r="G29" s="6" t="n"/>
      <c r="H29" s="6" t="n"/>
      <c r="I29" s="7" t="n"/>
    </row>
    <row r="30">
      <c r="A30" s="5" t="inlineStr">
        <is>
          <t>Absorber Plant</t>
        </is>
      </c>
      <c r="B30" s="5" t="inlineStr">
        <is>
          <t>Port</t>
        </is>
      </c>
      <c r="C30" s="5" t="inlineStr">
        <is>
          <t>Move Type</t>
        </is>
      </c>
      <c r="D30" s="5" t="inlineStr">
        <is>
          <t>Units/Day Moved</t>
        </is>
      </c>
      <c r="E30" s="5" t="inlineStr">
        <is>
          <t>CPU Delta ($/unit)</t>
        </is>
      </c>
      <c r="F30" s="5" t="inlineStr">
        <is>
          <t>Handling Impact ($/day)</t>
        </is>
      </c>
      <c r="G30" s="5" t="inlineStr">
        <is>
          <t>Freight Impact ($/day)</t>
        </is>
      </c>
      <c r="H30" s="5" t="inlineStr">
        <is>
          <t>Transit (TPT) Impact (days)</t>
        </is>
      </c>
      <c r="I30" s="5" t="inlineStr">
        <is>
          <t>Rationale</t>
        </is>
      </c>
    </row>
    <row r="31">
      <c r="A31" s="11" t="inlineStr">
        <is>
          <t>PLANT13</t>
        </is>
      </c>
      <c r="B31" s="24" t="inlineStr">
        <is>
          <t>PORT04</t>
        </is>
      </c>
      <c r="C31" s="24" t="inlineStr">
        <is>
          <t>Same-port</t>
        </is>
      </c>
      <c r="D31" s="40" t="n">
        <v>14</v>
      </c>
      <c r="E31" s="41" t="n">
        <v>-0.0532</v>
      </c>
      <c r="F31" s="36" t="n">
        <v>-0.74</v>
      </c>
      <c r="G31" s="36" t="n">
        <v>0</v>
      </c>
      <c r="H31" s="42" t="n">
        <v>0</v>
      </c>
      <c r="I31" s="43" t="inlineStr">
        <is>
          <t>Cheapest same-port CPU; preserves DTP/CRF port routing; lane unchanged so no freight impact</t>
        </is>
      </c>
    </row>
    <row r="32">
      <c r="A32" s="44" t="inlineStr">
        <is>
          <t>TOTAL</t>
        </is>
      </c>
      <c r="B32" s="45" t="inlineStr"/>
      <c r="C32" s="45" t="inlineStr"/>
      <c r="D32" s="46" t="n">
        <v>14</v>
      </c>
      <c r="E32" s="45" t="inlineStr"/>
      <c r="F32" s="47" t="n">
        <v>-0.74</v>
      </c>
      <c r="G32" s="47" t="n">
        <v>0</v>
      </c>
      <c r="H32" s="45" t="inlineStr"/>
      <c r="I32" s="48" t="inlineStr">
        <is>
          <t>All candidate volume placed; no unplaced residual</t>
        </is>
      </c>
    </row>
    <row r="34">
      <c r="A34" s="49" t="inlineStr">
        <is>
          <t>Net cost impact (annualized)  -  sign convention: negative = saving, positive = cost</t>
        </is>
      </c>
    </row>
    <row r="35">
      <c r="A35" s="24" t="inlineStr">
        <is>
          <t>Variable handling impact ($/yr)</t>
        </is>
      </c>
      <c r="B35" s="50" t="n">
        <v>-272</v>
      </c>
      <c r="C35" s="43" t="inlineStr">
        <is>
          <t>Data-derived: Σ(absorber CPU - candidate CPU) × units moved × 365</t>
        </is>
      </c>
      <c r="D35" s="6" t="n"/>
      <c r="E35" s="6" t="n"/>
      <c r="F35" s="6" t="n"/>
      <c r="G35" s="6" t="n"/>
      <c r="H35" s="6" t="n"/>
      <c r="I35" s="7" t="n"/>
    </row>
    <row r="36">
      <c r="A36" s="24" t="inlineStr">
        <is>
          <t>Variable freight impact ($/yr)</t>
        </is>
      </c>
      <c r="B36" s="51" t="n">
        <v>0</v>
      </c>
      <c r="C36" s="43" t="inlineStr">
        <is>
          <t>Data-derived: lane differential × shipments moved × 365; zero for same-port moves</t>
        </is>
      </c>
      <c r="D36" s="6" t="n"/>
      <c r="E36" s="6" t="n"/>
      <c r="F36" s="6" t="n"/>
      <c r="G36" s="6" t="n"/>
      <c r="H36" s="6" t="n"/>
      <c r="I36" s="7" t="n"/>
    </row>
    <row r="37">
      <c r="A37" s="11" t="inlineStr">
        <is>
          <t>Total variable impact ($/yr)</t>
        </is>
      </c>
      <c r="B37" s="50" t="n">
        <v>-272</v>
      </c>
      <c r="C37" s="43" t="inlineStr">
        <is>
          <t>Sum of the two rows above</t>
        </is>
      </c>
      <c r="D37" s="6" t="n"/>
      <c r="E37" s="6" t="n"/>
      <c r="F37" s="6" t="n"/>
      <c r="G37" s="6" t="n"/>
      <c r="H37" s="6" t="n"/>
      <c r="I37" s="7" t="n"/>
    </row>
    <row r="38">
      <c r="A38" s="24" t="inlineStr">
        <is>
          <t>Fixed-cost saving - LOW ($/yr)</t>
        </is>
      </c>
      <c r="B38" s="50" t="n">
        <v>-150000</v>
      </c>
      <c r="C38" s="43" t="inlineStr">
        <is>
          <t>ASSUMPTION - not derivable from provided data (F-07); input cell B10</t>
        </is>
      </c>
      <c r="D38" s="6" t="n"/>
      <c r="E38" s="6" t="n"/>
      <c r="F38" s="6" t="n"/>
      <c r="G38" s="6" t="n"/>
      <c r="H38" s="6" t="n"/>
      <c r="I38" s="7" t="n"/>
    </row>
    <row r="39">
      <c r="A39" s="24" t="inlineStr">
        <is>
          <t>Fixed-cost saving - HIGH ($/yr)</t>
        </is>
      </c>
      <c r="B39" s="50" t="n">
        <v>-400000</v>
      </c>
      <c r="C39" s="43" t="inlineStr">
        <is>
          <t>ASSUMPTION - not derivable from provided data (F-07); input cell B11</t>
        </is>
      </c>
      <c r="D39" s="6" t="n"/>
      <c r="E39" s="6" t="n"/>
      <c r="F39" s="6" t="n"/>
      <c r="G39" s="6" t="n"/>
      <c r="H39" s="6" t="n"/>
      <c r="I39" s="7" t="n"/>
    </row>
    <row r="40">
      <c r="A40" s="24" t="inlineStr">
        <is>
          <t>One-time transition cost - LOW ($)</t>
        </is>
      </c>
      <c r="B40" s="52" t="n">
        <v>100000</v>
      </c>
      <c r="C40" s="43" t="inlineStr">
        <is>
          <t>ASSUMPTION; input cell B12</t>
        </is>
      </c>
      <c r="D40" s="6" t="n"/>
      <c r="E40" s="6" t="n"/>
      <c r="F40" s="6" t="n"/>
      <c r="G40" s="6" t="n"/>
      <c r="H40" s="6" t="n"/>
      <c r="I40" s="7" t="n"/>
    </row>
    <row r="41">
      <c r="A41" s="24" t="inlineStr">
        <is>
          <t>One-time transition cost - HIGH ($)</t>
        </is>
      </c>
      <c r="B41" s="52" t="n">
        <v>250000</v>
      </c>
      <c r="C41" s="43" t="inlineStr">
        <is>
          <t>ASSUMPTION; input cell B13</t>
        </is>
      </c>
      <c r="D41" s="6" t="n"/>
      <c r="E41" s="6" t="n"/>
      <c r="F41" s="6" t="n"/>
      <c r="G41" s="6" t="n"/>
      <c r="H41" s="6" t="n"/>
      <c r="I41" s="7" t="n"/>
    </row>
    <row r="42">
      <c r="A42" s="11" t="inlineStr">
        <is>
          <t>Year-1 net impact - LOW case ($)</t>
        </is>
      </c>
      <c r="B42" s="50" t="n">
        <v>-50272</v>
      </c>
      <c r="C42" s="43" t="inlineStr">
        <is>
          <t>Variable + fixed LOW + transition LOW</t>
        </is>
      </c>
      <c r="D42" s="6" t="n"/>
      <c r="E42" s="6" t="n"/>
      <c r="F42" s="6" t="n"/>
      <c r="G42" s="6" t="n"/>
      <c r="H42" s="6" t="n"/>
      <c r="I42" s="7" t="n"/>
    </row>
    <row r="43">
      <c r="A43" s="11" t="inlineStr">
        <is>
          <t>Year-1 net impact - HIGH case ($)</t>
        </is>
      </c>
      <c r="B43" s="50" t="n">
        <v>-150272</v>
      </c>
      <c r="C43" s="43" t="inlineStr">
        <is>
          <t>Variable + fixed HIGH + transition HIGH</t>
        </is>
      </c>
      <c r="D43" s="6" t="n"/>
      <c r="E43" s="6" t="n"/>
      <c r="F43" s="6" t="n"/>
      <c r="G43" s="6" t="n"/>
      <c r="H43" s="6" t="n"/>
      <c r="I43" s="7" t="n"/>
    </row>
    <row r="44">
      <c r="A44" s="11" t="inlineStr">
        <is>
          <t>Steady-state annual saving - LOW ($/yr)</t>
        </is>
      </c>
      <c r="B44" s="50" t="n">
        <v>-150272</v>
      </c>
      <c r="C44" s="43" t="inlineStr">
        <is>
          <t>Variable + fixed LOW</t>
        </is>
      </c>
      <c r="D44" s="6" t="n"/>
      <c r="E44" s="6" t="n"/>
      <c r="F44" s="6" t="n"/>
      <c r="G44" s="6" t="n"/>
      <c r="H44" s="6" t="n"/>
      <c r="I44" s="7" t="n"/>
    </row>
    <row r="45">
      <c r="A45" s="11" t="inlineStr">
        <is>
          <t>Steady-state annual saving - HIGH ($/yr)</t>
        </is>
      </c>
      <c r="B45" s="50" t="n">
        <v>-400272</v>
      </c>
      <c r="C45" s="43" t="inlineStr">
        <is>
          <t>Variable + fixed HIGH</t>
        </is>
      </c>
      <c r="D45" s="6" t="n"/>
      <c r="E45" s="6" t="n"/>
      <c r="F45" s="6" t="n"/>
      <c r="G45" s="6" t="n"/>
      <c r="H45" s="6" t="n"/>
      <c r="I45" s="7" t="n"/>
    </row>
    <row r="47">
      <c r="A47" s="53" t="inlineStr">
        <is>
          <t>Feasibility verdict: FEASIBLE - same-port absorption into PLANT13/PLANT03 cluster; lane, port routing and transit unchanged.</t>
        </is>
      </c>
      <c r="B47" s="6" t="n"/>
      <c r="C47" s="6" t="n"/>
      <c r="D47" s="6" t="n"/>
      <c r="E47" s="6" t="n"/>
      <c r="F47" s="6" t="n"/>
      <c r="G47" s="6" t="n"/>
      <c r="H47" s="6" t="n"/>
      <c r="I47" s="7" t="n"/>
    </row>
    <row r="49">
      <c r="A49" s="37" t="inlineStr">
        <is>
          <t>CANDIDATE PLANT19   |   Composite rank #2   |   Port terminal: PORT04   |   Same-port absorbers available</t>
        </is>
      </c>
      <c r="B49" s="38" t="n"/>
      <c r="C49" s="38" t="n"/>
      <c r="D49" s="38" t="n"/>
      <c r="E49" s="38" t="n"/>
      <c r="F49" s="38" t="n"/>
      <c r="G49" s="38" t="n"/>
      <c r="H49" s="38" t="n"/>
      <c r="I49" s="38" t="n"/>
    </row>
    <row r="50">
      <c r="A50" s="39" t="inlineStr">
        <is>
          <t>Volume basis: stated daily capacity 7 units/day (memo treats capacity as throughput; order extract cannot validate - see Data_Reconciliation). No orders, survey responses or complaints on file for this plant (coverage gap F-01).</t>
        </is>
      </c>
      <c r="B50" s="6" t="n"/>
      <c r="C50" s="6" t="n"/>
      <c r="D50" s="6" t="n"/>
      <c r="E50" s="6" t="n"/>
      <c r="F50" s="6" t="n"/>
      <c r="G50" s="6" t="n"/>
      <c r="H50" s="6" t="n"/>
      <c r="I50" s="7" t="n"/>
    </row>
    <row r="51">
      <c r="A51" s="5" t="inlineStr">
        <is>
          <t>Absorber Plant</t>
        </is>
      </c>
      <c r="B51" s="5" t="inlineStr">
        <is>
          <t>Port</t>
        </is>
      </c>
      <c r="C51" s="5" t="inlineStr">
        <is>
          <t>Move Type</t>
        </is>
      </c>
      <c r="D51" s="5" t="inlineStr">
        <is>
          <t>Units/Day Moved</t>
        </is>
      </c>
      <c r="E51" s="5" t="inlineStr">
        <is>
          <t>CPU Delta ($/unit)</t>
        </is>
      </c>
      <c r="F51" s="5" t="inlineStr">
        <is>
          <t>Handling Impact ($/day)</t>
        </is>
      </c>
      <c r="G51" s="5" t="inlineStr">
        <is>
          <t>Freight Impact ($/day)</t>
        </is>
      </c>
      <c r="H51" s="5" t="inlineStr">
        <is>
          <t>Transit (TPT) Impact (days)</t>
        </is>
      </c>
      <c r="I51" s="5" t="inlineStr">
        <is>
          <t>Rationale</t>
        </is>
      </c>
    </row>
    <row r="52">
      <c r="A52" s="11" t="inlineStr">
        <is>
          <t>PLANT13</t>
        </is>
      </c>
      <c r="B52" s="24" t="inlineStr">
        <is>
          <t>PORT04</t>
        </is>
      </c>
      <c r="C52" s="24" t="inlineStr">
        <is>
          <t>Same-port</t>
        </is>
      </c>
      <c r="D52" s="40" t="n">
        <v>7</v>
      </c>
      <c r="E52" s="41" t="n">
        <v>-0.1701</v>
      </c>
      <c r="F52" s="36" t="n">
        <v>-1.19</v>
      </c>
      <c r="G52" s="36" t="n">
        <v>0</v>
      </c>
      <c r="H52" s="42" t="n">
        <v>0</v>
      </c>
      <c r="I52" s="43" t="inlineStr">
        <is>
          <t>Cheapest same-port CPU; preserves DTP/CRF port routing; lane unchanged so no freight impact</t>
        </is>
      </c>
    </row>
    <row r="53">
      <c r="A53" s="44" t="inlineStr">
        <is>
          <t>TOTAL</t>
        </is>
      </c>
      <c r="B53" s="45" t="inlineStr"/>
      <c r="C53" s="45" t="inlineStr"/>
      <c r="D53" s="46" t="n">
        <v>7</v>
      </c>
      <c r="E53" s="45" t="inlineStr"/>
      <c r="F53" s="47" t="n">
        <v>-1.19</v>
      </c>
      <c r="G53" s="47" t="n">
        <v>0</v>
      </c>
      <c r="H53" s="45" t="inlineStr"/>
      <c r="I53" s="48" t="inlineStr">
        <is>
          <t>All candidate volume placed; no unplaced residual</t>
        </is>
      </c>
    </row>
    <row r="55">
      <c r="A55" s="49" t="inlineStr">
        <is>
          <t>Net cost impact (annualized)  -  sign convention: negative = saving, positive = cost</t>
        </is>
      </c>
    </row>
    <row r="56">
      <c r="A56" s="24" t="inlineStr">
        <is>
          <t>Variable handling impact ($/yr)</t>
        </is>
      </c>
      <c r="B56" s="50" t="n">
        <v>-434</v>
      </c>
      <c r="C56" s="43" t="inlineStr">
        <is>
          <t>Data-derived: Σ(absorber CPU - candidate CPU) × units moved × 365</t>
        </is>
      </c>
      <c r="D56" s="6" t="n"/>
      <c r="E56" s="6" t="n"/>
      <c r="F56" s="6" t="n"/>
      <c r="G56" s="6" t="n"/>
      <c r="H56" s="6" t="n"/>
      <c r="I56" s="7" t="n"/>
    </row>
    <row r="57">
      <c r="A57" s="24" t="inlineStr">
        <is>
          <t>Variable freight impact ($/yr)</t>
        </is>
      </c>
      <c r="B57" s="51" t="n">
        <v>0</v>
      </c>
      <c r="C57" s="43" t="inlineStr">
        <is>
          <t>Data-derived: lane differential × shipments moved × 365; zero for same-port moves</t>
        </is>
      </c>
      <c r="D57" s="6" t="n"/>
      <c r="E57" s="6" t="n"/>
      <c r="F57" s="6" t="n"/>
      <c r="G57" s="6" t="n"/>
      <c r="H57" s="6" t="n"/>
      <c r="I57" s="7" t="n"/>
    </row>
    <row r="58">
      <c r="A58" s="11" t="inlineStr">
        <is>
          <t>Total variable impact ($/yr)</t>
        </is>
      </c>
      <c r="B58" s="50" t="n">
        <v>-434</v>
      </c>
      <c r="C58" s="43" t="inlineStr">
        <is>
          <t>Sum of the two rows above</t>
        </is>
      </c>
      <c r="D58" s="6" t="n"/>
      <c r="E58" s="6" t="n"/>
      <c r="F58" s="6" t="n"/>
      <c r="G58" s="6" t="n"/>
      <c r="H58" s="6" t="n"/>
      <c r="I58" s="7" t="n"/>
    </row>
    <row r="59">
      <c r="A59" s="24" t="inlineStr">
        <is>
          <t>Fixed-cost saving - LOW ($/yr)</t>
        </is>
      </c>
      <c r="B59" s="50" t="n">
        <v>-150000</v>
      </c>
      <c r="C59" s="43" t="inlineStr">
        <is>
          <t>ASSUMPTION - not derivable from provided data (F-07); input cell B10</t>
        </is>
      </c>
      <c r="D59" s="6" t="n"/>
      <c r="E59" s="6" t="n"/>
      <c r="F59" s="6" t="n"/>
      <c r="G59" s="6" t="n"/>
      <c r="H59" s="6" t="n"/>
      <c r="I59" s="7" t="n"/>
    </row>
    <row r="60">
      <c r="A60" s="24" t="inlineStr">
        <is>
          <t>Fixed-cost saving - HIGH ($/yr)</t>
        </is>
      </c>
      <c r="B60" s="50" t="n">
        <v>-400000</v>
      </c>
      <c r="C60" s="43" t="inlineStr">
        <is>
          <t>ASSUMPTION - not derivable from provided data (F-07); input cell B11</t>
        </is>
      </c>
      <c r="D60" s="6" t="n"/>
      <c r="E60" s="6" t="n"/>
      <c r="F60" s="6" t="n"/>
      <c r="G60" s="6" t="n"/>
      <c r="H60" s="6" t="n"/>
      <c r="I60" s="7" t="n"/>
    </row>
    <row r="61">
      <c r="A61" s="24" t="inlineStr">
        <is>
          <t>One-time transition cost - LOW ($)</t>
        </is>
      </c>
      <c r="B61" s="52" t="n">
        <v>100000</v>
      </c>
      <c r="C61" s="43" t="inlineStr">
        <is>
          <t>ASSUMPTION; input cell B12</t>
        </is>
      </c>
      <c r="D61" s="6" t="n"/>
      <c r="E61" s="6" t="n"/>
      <c r="F61" s="6" t="n"/>
      <c r="G61" s="6" t="n"/>
      <c r="H61" s="6" t="n"/>
      <c r="I61" s="7" t="n"/>
    </row>
    <row r="62">
      <c r="A62" s="24" t="inlineStr">
        <is>
          <t>One-time transition cost - HIGH ($)</t>
        </is>
      </c>
      <c r="B62" s="52" t="n">
        <v>250000</v>
      </c>
      <c r="C62" s="43" t="inlineStr">
        <is>
          <t>ASSUMPTION; input cell B13</t>
        </is>
      </c>
      <c r="D62" s="6" t="n"/>
      <c r="E62" s="6" t="n"/>
      <c r="F62" s="6" t="n"/>
      <c r="G62" s="6" t="n"/>
      <c r="H62" s="6" t="n"/>
      <c r="I62" s="7" t="n"/>
    </row>
    <row r="63">
      <c r="A63" s="11" t="inlineStr">
        <is>
          <t>Year-1 net impact - LOW case ($)</t>
        </is>
      </c>
      <c r="B63" s="50" t="n">
        <v>-50434</v>
      </c>
      <c r="C63" s="43" t="inlineStr">
        <is>
          <t>Variable + fixed LOW + transition LOW</t>
        </is>
      </c>
      <c r="D63" s="6" t="n"/>
      <c r="E63" s="6" t="n"/>
      <c r="F63" s="6" t="n"/>
      <c r="G63" s="6" t="n"/>
      <c r="H63" s="6" t="n"/>
      <c r="I63" s="7" t="n"/>
    </row>
    <row r="64">
      <c r="A64" s="11" t="inlineStr">
        <is>
          <t>Year-1 net impact - HIGH case ($)</t>
        </is>
      </c>
      <c r="B64" s="50" t="n">
        <v>-150434</v>
      </c>
      <c r="C64" s="43" t="inlineStr">
        <is>
          <t>Variable + fixed HIGH + transition HIGH</t>
        </is>
      </c>
      <c r="D64" s="6" t="n"/>
      <c r="E64" s="6" t="n"/>
      <c r="F64" s="6" t="n"/>
      <c r="G64" s="6" t="n"/>
      <c r="H64" s="6" t="n"/>
      <c r="I64" s="7" t="n"/>
    </row>
    <row r="65">
      <c r="A65" s="11" t="inlineStr">
        <is>
          <t>Steady-state annual saving - LOW ($/yr)</t>
        </is>
      </c>
      <c r="B65" s="50" t="n">
        <v>-150434</v>
      </c>
      <c r="C65" s="43" t="inlineStr">
        <is>
          <t>Variable + fixed LOW</t>
        </is>
      </c>
      <c r="D65" s="6" t="n"/>
      <c r="E65" s="6" t="n"/>
      <c r="F65" s="6" t="n"/>
      <c r="G65" s="6" t="n"/>
      <c r="H65" s="6" t="n"/>
      <c r="I65" s="7" t="n"/>
    </row>
    <row r="66">
      <c r="A66" s="11" t="inlineStr">
        <is>
          <t>Steady-state annual saving - HIGH ($/yr)</t>
        </is>
      </c>
      <c r="B66" s="50" t="n">
        <v>-400434</v>
      </c>
      <c r="C66" s="43" t="inlineStr">
        <is>
          <t>Variable + fixed HIGH</t>
        </is>
      </c>
      <c r="D66" s="6" t="n"/>
      <c r="E66" s="6" t="n"/>
      <c r="F66" s="6" t="n"/>
      <c r="G66" s="6" t="n"/>
      <c r="H66" s="6" t="n"/>
      <c r="I66" s="7" t="n"/>
    </row>
    <row r="68">
      <c r="A68" s="53" t="inlineStr">
        <is>
          <t>Feasibility verdict: FEASIBLE - same-port absorption into PLANT13/PLANT03 cluster; lane, port routing and transit unchanged.</t>
        </is>
      </c>
      <c r="B68" s="6" t="n"/>
      <c r="C68" s="6" t="n"/>
      <c r="D68" s="6" t="n"/>
      <c r="E68" s="6" t="n"/>
      <c r="F68" s="6" t="n"/>
      <c r="G68" s="6" t="n"/>
      <c r="H68" s="6" t="n"/>
      <c r="I68" s="7" t="n"/>
    </row>
    <row r="70">
      <c r="A70" s="37" t="inlineStr">
        <is>
          <t>CANDIDATE PLANT09   |   Composite rank #3   |   Port terminal: PORT04   |   Same-port absorbers available</t>
        </is>
      </c>
      <c r="B70" s="38" t="n"/>
      <c r="C70" s="38" t="n"/>
      <c r="D70" s="38" t="n"/>
      <c r="E70" s="38" t="n"/>
      <c r="F70" s="38" t="n"/>
      <c r="G70" s="38" t="n"/>
      <c r="H70" s="38" t="n"/>
      <c r="I70" s="38" t="n"/>
    </row>
    <row r="71">
      <c r="A71" s="39" t="inlineStr">
        <is>
          <t>Volume basis: stated daily capacity 11 units/day (memo treats capacity as throughput; order extract cannot validate - see Data_Reconciliation). Observed order flow in extract: 12 orders / 223,830 units on 26-May-13.</t>
        </is>
      </c>
      <c r="B71" s="6" t="n"/>
      <c r="C71" s="6" t="n"/>
      <c r="D71" s="6" t="n"/>
      <c r="E71" s="6" t="n"/>
      <c r="F71" s="6" t="n"/>
      <c r="G71" s="6" t="n"/>
      <c r="H71" s="6" t="n"/>
      <c r="I71" s="7" t="n"/>
    </row>
    <row r="72">
      <c r="A72" s="5" t="inlineStr">
        <is>
          <t>Absorber Plant</t>
        </is>
      </c>
      <c r="B72" s="5" t="inlineStr">
        <is>
          <t>Port</t>
        </is>
      </c>
      <c r="C72" s="5" t="inlineStr">
        <is>
          <t>Move Type</t>
        </is>
      </c>
      <c r="D72" s="5" t="inlineStr">
        <is>
          <t>Units/Day Moved</t>
        </is>
      </c>
      <c r="E72" s="5" t="inlineStr">
        <is>
          <t>CPU Delta ($/unit)</t>
        </is>
      </c>
      <c r="F72" s="5" t="inlineStr">
        <is>
          <t>Handling Impact ($/day)</t>
        </is>
      </c>
      <c r="G72" s="5" t="inlineStr">
        <is>
          <t>Freight Impact ($/day)</t>
        </is>
      </c>
      <c r="H72" s="5" t="inlineStr">
        <is>
          <t>Transit (TPT) Impact (days)</t>
        </is>
      </c>
      <c r="I72" s="5" t="inlineStr">
        <is>
          <t>Rationale</t>
        </is>
      </c>
    </row>
    <row r="73">
      <c r="A73" s="11" t="inlineStr">
        <is>
          <t>PLANT13</t>
        </is>
      </c>
      <c r="B73" s="24" t="inlineStr">
        <is>
          <t>PORT04</t>
        </is>
      </c>
      <c r="C73" s="24" t="inlineStr">
        <is>
          <t>Same-port</t>
        </is>
      </c>
      <c r="D73" s="40" t="n">
        <v>11</v>
      </c>
      <c r="E73" s="41" t="n">
        <v>0.0046</v>
      </c>
      <c r="F73" s="36" t="n">
        <v>0.05</v>
      </c>
      <c r="G73" s="36" t="n">
        <v>0</v>
      </c>
      <c r="H73" s="42" t="n">
        <v>0</v>
      </c>
      <c r="I73" s="43" t="inlineStr">
        <is>
          <t>Cheapest same-port CPU; preserves DTP/CRF port routing; lane unchanged so no freight impact</t>
        </is>
      </c>
    </row>
    <row r="74">
      <c r="A74" s="44" t="inlineStr">
        <is>
          <t>TOTAL</t>
        </is>
      </c>
      <c r="B74" s="45" t="inlineStr"/>
      <c r="C74" s="45" t="inlineStr"/>
      <c r="D74" s="46" t="n">
        <v>11</v>
      </c>
      <c r="E74" s="45" t="inlineStr"/>
      <c r="F74" s="47" t="n">
        <v>0.05</v>
      </c>
      <c r="G74" s="47" t="n">
        <v>0</v>
      </c>
      <c r="H74" s="45" t="inlineStr"/>
      <c r="I74" s="48" t="inlineStr">
        <is>
          <t>All candidate volume placed; no unplaced residual</t>
        </is>
      </c>
    </row>
    <row r="76">
      <c r="A76" s="49" t="inlineStr">
        <is>
          <t>Net cost impact (annualized)  -  sign convention: negative = saving, positive = cost</t>
        </is>
      </c>
    </row>
    <row r="77">
      <c r="A77" s="24" t="inlineStr">
        <is>
          <t>Variable handling impact ($/yr)</t>
        </is>
      </c>
      <c r="B77" s="52" t="n">
        <v>19</v>
      </c>
      <c r="C77" s="43" t="inlineStr">
        <is>
          <t>Data-derived: Σ(absorber CPU - candidate CPU) × units moved × 365</t>
        </is>
      </c>
      <c r="D77" s="6" t="n"/>
      <c r="E77" s="6" t="n"/>
      <c r="F77" s="6" t="n"/>
      <c r="G77" s="6" t="n"/>
      <c r="H77" s="6" t="n"/>
      <c r="I77" s="7" t="n"/>
    </row>
    <row r="78">
      <c r="A78" s="24" t="inlineStr">
        <is>
          <t>Variable freight impact ($/yr)</t>
        </is>
      </c>
      <c r="B78" s="51" t="n">
        <v>0</v>
      </c>
      <c r="C78" s="43" t="inlineStr">
        <is>
          <t>Data-derived: lane differential × shipments moved × 365; zero for same-port moves</t>
        </is>
      </c>
      <c r="D78" s="6" t="n"/>
      <c r="E78" s="6" t="n"/>
      <c r="F78" s="6" t="n"/>
      <c r="G78" s="6" t="n"/>
      <c r="H78" s="6" t="n"/>
      <c r="I78" s="7" t="n"/>
    </row>
    <row r="79">
      <c r="A79" s="11" t="inlineStr">
        <is>
          <t>Total variable impact ($/yr)</t>
        </is>
      </c>
      <c r="B79" s="52" t="n">
        <v>19</v>
      </c>
      <c r="C79" s="43" t="inlineStr">
        <is>
          <t>Sum of the two rows above</t>
        </is>
      </c>
      <c r="D79" s="6" t="n"/>
      <c r="E79" s="6" t="n"/>
      <c r="F79" s="6" t="n"/>
      <c r="G79" s="6" t="n"/>
      <c r="H79" s="6" t="n"/>
      <c r="I79" s="7" t="n"/>
    </row>
    <row r="80">
      <c r="A80" s="24" t="inlineStr">
        <is>
          <t>Fixed-cost saving - LOW ($/yr)</t>
        </is>
      </c>
      <c r="B80" s="50" t="n">
        <v>-150000</v>
      </c>
      <c r="C80" s="43" t="inlineStr">
        <is>
          <t>ASSUMPTION - not derivable from provided data (F-07); input cell B10</t>
        </is>
      </c>
      <c r="D80" s="6" t="n"/>
      <c r="E80" s="6" t="n"/>
      <c r="F80" s="6" t="n"/>
      <c r="G80" s="6" t="n"/>
      <c r="H80" s="6" t="n"/>
      <c r="I80" s="7" t="n"/>
    </row>
    <row r="81">
      <c r="A81" s="24" t="inlineStr">
        <is>
          <t>Fixed-cost saving - HIGH ($/yr)</t>
        </is>
      </c>
      <c r="B81" s="50" t="n">
        <v>-400000</v>
      </c>
      <c r="C81" s="43" t="inlineStr">
        <is>
          <t>ASSUMPTION - not derivable from provided data (F-07); input cell B11</t>
        </is>
      </c>
      <c r="D81" s="6" t="n"/>
      <c r="E81" s="6" t="n"/>
      <c r="F81" s="6" t="n"/>
      <c r="G81" s="6" t="n"/>
      <c r="H81" s="6" t="n"/>
      <c r="I81" s="7" t="n"/>
    </row>
    <row r="82">
      <c r="A82" s="24" t="inlineStr">
        <is>
          <t>One-time transition cost - LOW ($)</t>
        </is>
      </c>
      <c r="B82" s="52" t="n">
        <v>100000</v>
      </c>
      <c r="C82" s="43" t="inlineStr">
        <is>
          <t>ASSUMPTION; input cell B12</t>
        </is>
      </c>
      <c r="D82" s="6" t="n"/>
      <c r="E82" s="6" t="n"/>
      <c r="F82" s="6" t="n"/>
      <c r="G82" s="6" t="n"/>
      <c r="H82" s="6" t="n"/>
      <c r="I82" s="7" t="n"/>
    </row>
    <row r="83">
      <c r="A83" s="24" t="inlineStr">
        <is>
          <t>One-time transition cost - HIGH ($)</t>
        </is>
      </c>
      <c r="B83" s="52" t="n">
        <v>250000</v>
      </c>
      <c r="C83" s="43" t="inlineStr">
        <is>
          <t>ASSUMPTION; input cell B13</t>
        </is>
      </c>
      <c r="D83" s="6" t="n"/>
      <c r="E83" s="6" t="n"/>
      <c r="F83" s="6" t="n"/>
      <c r="G83" s="6" t="n"/>
      <c r="H83" s="6" t="n"/>
      <c r="I83" s="7" t="n"/>
    </row>
    <row r="84">
      <c r="A84" s="11" t="inlineStr">
        <is>
          <t>Year-1 net impact - LOW case ($)</t>
        </is>
      </c>
      <c r="B84" s="50" t="n">
        <v>-49981</v>
      </c>
      <c r="C84" s="43" t="inlineStr">
        <is>
          <t>Variable + fixed LOW + transition LOW</t>
        </is>
      </c>
      <c r="D84" s="6" t="n"/>
      <c r="E84" s="6" t="n"/>
      <c r="F84" s="6" t="n"/>
      <c r="G84" s="6" t="n"/>
      <c r="H84" s="6" t="n"/>
      <c r="I84" s="7" t="n"/>
    </row>
    <row r="85">
      <c r="A85" s="11" t="inlineStr">
        <is>
          <t>Year-1 net impact - HIGH case ($)</t>
        </is>
      </c>
      <c r="B85" s="50" t="n">
        <v>-149981</v>
      </c>
      <c r="C85" s="43" t="inlineStr">
        <is>
          <t>Variable + fixed HIGH + transition HIGH</t>
        </is>
      </c>
      <c r="D85" s="6" t="n"/>
      <c r="E85" s="6" t="n"/>
      <c r="F85" s="6" t="n"/>
      <c r="G85" s="6" t="n"/>
      <c r="H85" s="6" t="n"/>
      <c r="I85" s="7" t="n"/>
    </row>
    <row r="86">
      <c r="A86" s="11" t="inlineStr">
        <is>
          <t>Steady-state annual saving - LOW ($/yr)</t>
        </is>
      </c>
      <c r="B86" s="50" t="n">
        <v>-149981</v>
      </c>
      <c r="C86" s="43" t="inlineStr">
        <is>
          <t>Variable + fixed LOW</t>
        </is>
      </c>
      <c r="D86" s="6" t="n"/>
      <c r="E86" s="6" t="n"/>
      <c r="F86" s="6" t="n"/>
      <c r="G86" s="6" t="n"/>
      <c r="H86" s="6" t="n"/>
      <c r="I86" s="7" t="n"/>
    </row>
    <row r="87">
      <c r="A87" s="11" t="inlineStr">
        <is>
          <t>Steady-state annual saving - HIGH ($/yr)</t>
        </is>
      </c>
      <c r="B87" s="50" t="n">
        <v>-399981</v>
      </c>
      <c r="C87" s="43" t="inlineStr">
        <is>
          <t>Variable + fixed HIGH</t>
        </is>
      </c>
      <c r="D87" s="6" t="n"/>
      <c r="E87" s="6" t="n"/>
      <c r="F87" s="6" t="n"/>
      <c r="G87" s="6" t="n"/>
      <c r="H87" s="6" t="n"/>
      <c r="I87" s="7" t="n"/>
    </row>
    <row r="89">
      <c r="A89" s="53" t="inlineStr">
        <is>
          <t>Feasibility verdict: FEASIBLE - same-port absorption into PLANT13/PLANT03 cluster; lane, port routing and transit unchanged.</t>
        </is>
      </c>
      <c r="B89" s="6" t="n"/>
      <c r="C89" s="6" t="n"/>
      <c r="D89" s="6" t="n"/>
      <c r="E89" s="6" t="n"/>
      <c r="F89" s="6" t="n"/>
      <c r="G89" s="6" t="n"/>
      <c r="H89" s="6" t="n"/>
      <c r="I89" s="7" t="n"/>
    </row>
    <row r="91">
      <c r="A91" s="37" t="inlineStr">
        <is>
          <t>CANDIDATE PLANT15   |   Composite rank #4   |   Port terminal: PORT08   |   SINGLE-TENANT PORT - cross-port redistribution required</t>
        </is>
      </c>
      <c r="B91" s="38" t="n"/>
      <c r="C91" s="38" t="n"/>
      <c r="D91" s="38" t="n"/>
      <c r="E91" s="38" t="n"/>
      <c r="F91" s="38" t="n"/>
      <c r="G91" s="38" t="n"/>
      <c r="H91" s="38" t="n"/>
      <c r="I91" s="38" t="n"/>
    </row>
    <row r="92">
      <c r="A92" s="39" t="inlineStr">
        <is>
          <t>Volume basis: stated daily capacity 11 units/day (memo treats capacity as throughput; order extract cannot validate - see Data_Reconciliation). No orders, survey responses or complaints on file for this plant (coverage gap F-01).</t>
        </is>
      </c>
      <c r="B92" s="6" t="n"/>
      <c r="C92" s="6" t="n"/>
      <c r="D92" s="6" t="n"/>
      <c r="E92" s="6" t="n"/>
      <c r="F92" s="6" t="n"/>
      <c r="G92" s="6" t="n"/>
      <c r="H92" s="6" t="n"/>
      <c r="I92" s="7" t="n"/>
    </row>
    <row r="93">
      <c r="A93" s="5" t="inlineStr">
        <is>
          <t>Absorber Plant</t>
        </is>
      </c>
      <c r="B93" s="5" t="inlineStr">
        <is>
          <t>Port</t>
        </is>
      </c>
      <c r="C93" s="5" t="inlineStr">
        <is>
          <t>Move Type</t>
        </is>
      </c>
      <c r="D93" s="5" t="inlineStr">
        <is>
          <t>Units/Day Moved</t>
        </is>
      </c>
      <c r="E93" s="5" t="inlineStr">
        <is>
          <t>CPU Delta ($/unit)</t>
        </is>
      </c>
      <c r="F93" s="5" t="inlineStr">
        <is>
          <t>Handling Impact ($/day)</t>
        </is>
      </c>
      <c r="G93" s="5" t="inlineStr">
        <is>
          <t>Freight Impact ($/day)</t>
        </is>
      </c>
      <c r="H93" s="5" t="inlineStr">
        <is>
          <t>Transit (TPT) Impact (days)</t>
        </is>
      </c>
      <c r="I93" s="5" t="inlineStr">
        <is>
          <t>Rationale</t>
        </is>
      </c>
    </row>
    <row r="94">
      <c r="A94" s="11" t="inlineStr">
        <is>
          <t>PLANT07</t>
        </is>
      </c>
      <c r="B94" s="24" t="inlineStr">
        <is>
          <t>PORT02</t>
        </is>
      </c>
      <c r="C94" s="54" t="inlineStr">
        <is>
          <t>CROSS-PORT</t>
        </is>
      </c>
      <c r="D94" s="40" t="n">
        <v>11</v>
      </c>
      <c r="E94" s="41" t="n">
        <v>-1.0436</v>
      </c>
      <c r="F94" s="36" t="n">
        <v>-11.48</v>
      </c>
      <c r="G94" s="36" t="n">
        <v>-1.95</v>
      </c>
      <c r="H94" s="42" t="n">
        <v>-3.2</v>
      </c>
      <c r="I94" s="43" t="inlineStr">
        <is>
          <t>Cheapest landed option: CPU -1.044 plus lane differential (15.92 vs 100.46 $/shipment)</t>
        </is>
      </c>
    </row>
    <row r="95">
      <c r="A95" s="44" t="inlineStr">
        <is>
          <t>TOTAL</t>
        </is>
      </c>
      <c r="B95" s="45" t="inlineStr"/>
      <c r="C95" s="45" t="inlineStr"/>
      <c r="D95" s="46" t="n">
        <v>11</v>
      </c>
      <c r="E95" s="45" t="inlineStr"/>
      <c r="F95" s="47" t="n">
        <v>-11.48</v>
      </c>
      <c r="G95" s="47" t="n">
        <v>-1.95</v>
      </c>
      <c r="H95" s="45" t="inlineStr"/>
      <c r="I95" s="48" t="inlineStr">
        <is>
          <t>All candidate volume placed; no unplaced residual</t>
        </is>
      </c>
    </row>
    <row r="97">
      <c r="A97" s="49" t="inlineStr">
        <is>
          <t>Net cost impact (annualized)  -  sign convention: negative = saving, positive = cost</t>
        </is>
      </c>
    </row>
    <row r="98">
      <c r="A98" s="24" t="inlineStr">
        <is>
          <t>Variable handling impact ($/yr)</t>
        </is>
      </c>
      <c r="B98" s="50" t="n">
        <v>-4190</v>
      </c>
      <c r="C98" s="43" t="inlineStr">
        <is>
          <t>Data-derived: Σ(absorber CPU - candidate CPU) × units moved × 365</t>
        </is>
      </c>
      <c r="D98" s="6" t="n"/>
      <c r="E98" s="6" t="n"/>
      <c r="F98" s="6" t="n"/>
      <c r="G98" s="6" t="n"/>
      <c r="H98" s="6" t="n"/>
      <c r="I98" s="7" t="n"/>
    </row>
    <row r="99">
      <c r="A99" s="24" t="inlineStr">
        <is>
          <t>Variable freight impact ($/yr)</t>
        </is>
      </c>
      <c r="B99" s="50" t="n">
        <v>-712</v>
      </c>
      <c r="C99" s="43" t="inlineStr">
        <is>
          <t>Data-derived: lane differential × shipments moved × 365; zero for same-port moves</t>
        </is>
      </c>
      <c r="D99" s="6" t="n"/>
      <c r="E99" s="6" t="n"/>
      <c r="F99" s="6" t="n"/>
      <c r="G99" s="6" t="n"/>
      <c r="H99" s="6" t="n"/>
      <c r="I99" s="7" t="n"/>
    </row>
    <row r="100">
      <c r="A100" s="11" t="inlineStr">
        <is>
          <t>Total variable impact ($/yr)</t>
        </is>
      </c>
      <c r="B100" s="50" t="n">
        <v>-4902</v>
      </c>
      <c r="C100" s="43" t="inlineStr">
        <is>
          <t>Sum of the two rows above</t>
        </is>
      </c>
      <c r="D100" s="6" t="n"/>
      <c r="E100" s="6" t="n"/>
      <c r="F100" s="6" t="n"/>
      <c r="G100" s="6" t="n"/>
      <c r="H100" s="6" t="n"/>
      <c r="I100" s="7" t="n"/>
    </row>
    <row r="101">
      <c r="A101" s="24" t="inlineStr">
        <is>
          <t>Fixed-cost saving - LOW ($/yr)</t>
        </is>
      </c>
      <c r="B101" s="50" t="n">
        <v>-150000</v>
      </c>
      <c r="C101" s="43" t="inlineStr">
        <is>
          <t>ASSUMPTION - not derivable from provided data (F-07); input cell B10</t>
        </is>
      </c>
      <c r="D101" s="6" t="n"/>
      <c r="E101" s="6" t="n"/>
      <c r="F101" s="6" t="n"/>
      <c r="G101" s="6" t="n"/>
      <c r="H101" s="6" t="n"/>
      <c r="I101" s="7" t="n"/>
    </row>
    <row r="102">
      <c r="A102" s="24" t="inlineStr">
        <is>
          <t>Fixed-cost saving - HIGH ($/yr)</t>
        </is>
      </c>
      <c r="B102" s="50" t="n">
        <v>-400000</v>
      </c>
      <c r="C102" s="43" t="inlineStr">
        <is>
          <t>ASSUMPTION - not derivable from provided data (F-07); input cell B11</t>
        </is>
      </c>
      <c r="D102" s="6" t="n"/>
      <c r="E102" s="6" t="n"/>
      <c r="F102" s="6" t="n"/>
      <c r="G102" s="6" t="n"/>
      <c r="H102" s="6" t="n"/>
      <c r="I102" s="7" t="n"/>
    </row>
    <row r="103">
      <c r="A103" s="24" t="inlineStr">
        <is>
          <t>One-time transition cost - LOW ($)</t>
        </is>
      </c>
      <c r="B103" s="52" t="n">
        <v>100000</v>
      </c>
      <c r="C103" s="43" t="inlineStr">
        <is>
          <t>ASSUMPTION; input cell B12</t>
        </is>
      </c>
      <c r="D103" s="6" t="n"/>
      <c r="E103" s="6" t="n"/>
      <c r="F103" s="6" t="n"/>
      <c r="G103" s="6" t="n"/>
      <c r="H103" s="6" t="n"/>
      <c r="I103" s="7" t="n"/>
    </row>
    <row r="104">
      <c r="A104" s="24" t="inlineStr">
        <is>
          <t>One-time transition cost - HIGH ($)</t>
        </is>
      </c>
      <c r="B104" s="52" t="n">
        <v>250000</v>
      </c>
      <c r="C104" s="43" t="inlineStr">
        <is>
          <t>ASSUMPTION; input cell B13</t>
        </is>
      </c>
      <c r="D104" s="6" t="n"/>
      <c r="E104" s="6" t="n"/>
      <c r="F104" s="6" t="n"/>
      <c r="G104" s="6" t="n"/>
      <c r="H104" s="6" t="n"/>
      <c r="I104" s="7" t="n"/>
    </row>
    <row r="105">
      <c r="A105" s="11" t="inlineStr">
        <is>
          <t>Year-1 net impact - LOW case ($)</t>
        </is>
      </c>
      <c r="B105" s="50" t="n">
        <v>-54902</v>
      </c>
      <c r="C105" s="43" t="inlineStr">
        <is>
          <t>Variable + fixed LOW + transition LOW</t>
        </is>
      </c>
      <c r="D105" s="6" t="n"/>
      <c r="E105" s="6" t="n"/>
      <c r="F105" s="6" t="n"/>
      <c r="G105" s="6" t="n"/>
      <c r="H105" s="6" t="n"/>
      <c r="I105" s="7" t="n"/>
    </row>
    <row r="106">
      <c r="A106" s="11" t="inlineStr">
        <is>
          <t>Year-1 net impact - HIGH case ($)</t>
        </is>
      </c>
      <c r="B106" s="50" t="n">
        <v>-154902</v>
      </c>
      <c r="C106" s="43" t="inlineStr">
        <is>
          <t>Variable + fixed HIGH + transition HIGH</t>
        </is>
      </c>
      <c r="D106" s="6" t="n"/>
      <c r="E106" s="6" t="n"/>
      <c r="F106" s="6" t="n"/>
      <c r="G106" s="6" t="n"/>
      <c r="H106" s="6" t="n"/>
      <c r="I106" s="7" t="n"/>
    </row>
    <row r="107">
      <c r="A107" s="11" t="inlineStr">
        <is>
          <t>Steady-state annual saving - LOW ($/yr)</t>
        </is>
      </c>
      <c r="B107" s="50" t="n">
        <v>-154902</v>
      </c>
      <c r="C107" s="43" t="inlineStr">
        <is>
          <t>Variable + fixed LOW</t>
        </is>
      </c>
      <c r="D107" s="6" t="n"/>
      <c r="E107" s="6" t="n"/>
      <c r="F107" s="6" t="n"/>
      <c r="G107" s="6" t="n"/>
      <c r="H107" s="6" t="n"/>
      <c r="I107" s="7" t="n"/>
    </row>
    <row r="108">
      <c r="A108" s="11" t="inlineStr">
        <is>
          <t>Steady-state annual saving - HIGH ($/yr)</t>
        </is>
      </c>
      <c r="B108" s="50" t="n">
        <v>-404902</v>
      </c>
      <c r="C108" s="43" t="inlineStr">
        <is>
          <t>Variable + fixed HIGH</t>
        </is>
      </c>
      <c r="D108" s="6" t="n"/>
      <c r="E108" s="6" t="n"/>
      <c r="F108" s="6" t="n"/>
      <c r="G108" s="6" t="n"/>
      <c r="H108" s="6" t="n"/>
      <c r="I108" s="7" t="n"/>
    </row>
    <row r="110">
      <c r="A110" s="55" t="inlineStr">
        <is>
          <t>Feasibility verdict: FEASIBLE WITH FREIGHT RE-ROUTING - single-tenant port; volume moves cross-port, transit improves (4.8 d -&gt; absorber lane average).</t>
        </is>
      </c>
      <c r="B110" s="6" t="n"/>
      <c r="C110" s="6" t="n"/>
      <c r="D110" s="6" t="n"/>
      <c r="E110" s="6" t="n"/>
      <c r="F110" s="6" t="n"/>
      <c r="G110" s="6" t="n"/>
      <c r="H110" s="6" t="n"/>
      <c r="I110" s="7" t="n"/>
    </row>
    <row r="112">
      <c r="A112" s="37" t="inlineStr">
        <is>
          <t>CANDIDATE PLANT18   |   Composite rank #5   |   Port terminal: PORT11   |   SINGLE-TENANT PORT - cross-port redistribution required</t>
        </is>
      </c>
      <c r="B112" s="38" t="n"/>
      <c r="C112" s="38" t="n"/>
      <c r="D112" s="38" t="n"/>
      <c r="E112" s="38" t="n"/>
      <c r="F112" s="38" t="n"/>
      <c r="G112" s="38" t="n"/>
      <c r="H112" s="38" t="n"/>
      <c r="I112" s="38" t="n"/>
    </row>
    <row r="113">
      <c r="A113" s="39" t="inlineStr">
        <is>
          <t>Volume basis: stated daily capacity 111 units/day (memo treats capacity as throughput; order extract cannot validate - see Data_Reconciliation). No orders, survey responses or complaints on file for this plant (coverage gap F-01).</t>
        </is>
      </c>
      <c r="B113" s="6" t="n"/>
      <c r="C113" s="6" t="n"/>
      <c r="D113" s="6" t="n"/>
      <c r="E113" s="6" t="n"/>
      <c r="F113" s="6" t="n"/>
      <c r="G113" s="6" t="n"/>
      <c r="H113" s="6" t="n"/>
      <c r="I113" s="7" t="n"/>
    </row>
    <row r="114">
      <c r="A114" s="5" t="inlineStr">
        <is>
          <t>Absorber Plant</t>
        </is>
      </c>
      <c r="B114" s="5" t="inlineStr">
        <is>
          <t>Port</t>
        </is>
      </c>
      <c r="C114" s="5" t="inlineStr">
        <is>
          <t>Move Type</t>
        </is>
      </c>
      <c r="D114" s="5" t="inlineStr">
        <is>
          <t>Units/Day Moved</t>
        </is>
      </c>
      <c r="E114" s="5" t="inlineStr">
        <is>
          <t>CPU Delta ($/unit)</t>
        </is>
      </c>
      <c r="F114" s="5" t="inlineStr">
        <is>
          <t>Handling Impact ($/day)</t>
        </is>
      </c>
      <c r="G114" s="5" t="inlineStr">
        <is>
          <t>Freight Impact ($/day)</t>
        </is>
      </c>
      <c r="H114" s="5" t="inlineStr">
        <is>
          <t>Transit (TPT) Impact (days)</t>
        </is>
      </c>
      <c r="I114" s="5" t="inlineStr">
        <is>
          <t>Rationale</t>
        </is>
      </c>
    </row>
    <row r="115">
      <c r="A115" s="11" t="inlineStr">
        <is>
          <t>PLANT07</t>
        </is>
      </c>
      <c r="B115" s="24" t="inlineStr">
        <is>
          <t>PORT02</t>
        </is>
      </c>
      <c r="C115" s="54" t="inlineStr">
        <is>
          <t>CROSS-PORT</t>
        </is>
      </c>
      <c r="D115" s="40" t="n">
        <v>28.8</v>
      </c>
      <c r="E115" s="41" t="n">
        <v>-1.6648</v>
      </c>
      <c r="F115" s="36" t="n">
        <v>-47.86</v>
      </c>
      <c r="G115" s="36" t="n">
        <v>-0.01</v>
      </c>
      <c r="H115" s="42" t="n">
        <v>-3.67</v>
      </c>
      <c r="I115" s="43" t="inlineStr">
        <is>
          <t>Cheapest landed option: CPU -1.665 plus lane differential (15.92 vs 16.01 $/shipment)</t>
        </is>
      </c>
    </row>
    <row r="116">
      <c r="A116" s="11" t="inlineStr">
        <is>
          <t>PLANT04</t>
        </is>
      </c>
      <c r="B116" s="24" t="inlineStr">
        <is>
          <t>PORT05</t>
        </is>
      </c>
      <c r="C116" s="54" t="inlineStr">
        <is>
          <t>CROSS-PORT</t>
        </is>
      </c>
      <c r="D116" s="40" t="n">
        <v>82.2</v>
      </c>
      <c r="E116" s="41" t="n">
        <v>-1.6078</v>
      </c>
      <c r="F116" s="36" t="n">
        <v>-132.24</v>
      </c>
      <c r="G116" s="36" t="n">
        <v>-0.13</v>
      </c>
      <c r="H116" s="42" t="n">
        <v>-4.02</v>
      </c>
      <c r="I116" s="43" t="inlineStr">
        <is>
          <t>Cheapest landed option: CPU -1.608 plus lane differential (15.26 vs 16.01 $/shipment)</t>
        </is>
      </c>
    </row>
    <row r="117">
      <c r="A117" s="44" t="inlineStr">
        <is>
          <t>TOTAL</t>
        </is>
      </c>
      <c r="B117" s="45" t="inlineStr"/>
      <c r="C117" s="45" t="inlineStr"/>
      <c r="D117" s="46" t="n">
        <v>111</v>
      </c>
      <c r="E117" s="45" t="inlineStr"/>
      <c r="F117" s="47" t="n">
        <v>-180.1</v>
      </c>
      <c r="G117" s="47" t="n">
        <v>-0.14</v>
      </c>
      <c r="H117" s="45" t="inlineStr"/>
      <c r="I117" s="48" t="inlineStr">
        <is>
          <t>All candidate volume placed; no unplaced residual</t>
        </is>
      </c>
    </row>
    <row r="119">
      <c r="A119" s="49" t="inlineStr">
        <is>
          <t>Net cost impact (annualized)  -  sign convention: negative = saving, positive = cost</t>
        </is>
      </c>
    </row>
    <row r="120">
      <c r="A120" s="24" t="inlineStr">
        <is>
          <t>Variable handling impact ($/yr)</t>
        </is>
      </c>
      <c r="B120" s="50" t="n">
        <v>-65737</v>
      </c>
      <c r="C120" s="43" t="inlineStr">
        <is>
          <t>Data-derived: Σ(absorber CPU - candidate CPU) × units moved × 365</t>
        </is>
      </c>
      <c r="D120" s="6" t="n"/>
      <c r="E120" s="6" t="n"/>
      <c r="F120" s="6" t="n"/>
      <c r="G120" s="6" t="n"/>
      <c r="H120" s="6" t="n"/>
      <c r="I120" s="7" t="n"/>
    </row>
    <row r="121">
      <c r="A121" s="24" t="inlineStr">
        <is>
          <t>Variable freight impact ($/yr)</t>
        </is>
      </c>
      <c r="B121" s="50" t="n">
        <v>-49</v>
      </c>
      <c r="C121" s="43" t="inlineStr">
        <is>
          <t>Data-derived: lane differential × shipments moved × 365; zero for same-port moves</t>
        </is>
      </c>
      <c r="D121" s="6" t="n"/>
      <c r="E121" s="6" t="n"/>
      <c r="F121" s="6" t="n"/>
      <c r="G121" s="6" t="n"/>
      <c r="H121" s="6" t="n"/>
      <c r="I121" s="7" t="n"/>
    </row>
    <row r="122">
      <c r="A122" s="11" t="inlineStr">
        <is>
          <t>Total variable impact ($/yr)</t>
        </is>
      </c>
      <c r="B122" s="50" t="n">
        <v>-65786</v>
      </c>
      <c r="C122" s="43" t="inlineStr">
        <is>
          <t>Sum of the two rows above</t>
        </is>
      </c>
      <c r="D122" s="6" t="n"/>
      <c r="E122" s="6" t="n"/>
      <c r="F122" s="6" t="n"/>
      <c r="G122" s="6" t="n"/>
      <c r="H122" s="6" t="n"/>
      <c r="I122" s="7" t="n"/>
    </row>
    <row r="123">
      <c r="A123" s="24" t="inlineStr">
        <is>
          <t>Fixed-cost saving - LOW ($/yr)</t>
        </is>
      </c>
      <c r="B123" s="50" t="n">
        <v>-150000</v>
      </c>
      <c r="C123" s="43" t="inlineStr">
        <is>
          <t>ASSUMPTION - not derivable from provided data (F-07); input cell B10</t>
        </is>
      </c>
      <c r="D123" s="6" t="n"/>
      <c r="E123" s="6" t="n"/>
      <c r="F123" s="6" t="n"/>
      <c r="G123" s="6" t="n"/>
      <c r="H123" s="6" t="n"/>
      <c r="I123" s="7" t="n"/>
    </row>
    <row r="124">
      <c r="A124" s="24" t="inlineStr">
        <is>
          <t>Fixed-cost saving - HIGH ($/yr)</t>
        </is>
      </c>
      <c r="B124" s="50" t="n">
        <v>-400000</v>
      </c>
      <c r="C124" s="43" t="inlineStr">
        <is>
          <t>ASSUMPTION - not derivable from provided data (F-07); input cell B11</t>
        </is>
      </c>
      <c r="D124" s="6" t="n"/>
      <c r="E124" s="6" t="n"/>
      <c r="F124" s="6" t="n"/>
      <c r="G124" s="6" t="n"/>
      <c r="H124" s="6" t="n"/>
      <c r="I124" s="7" t="n"/>
    </row>
    <row r="125">
      <c r="A125" s="24" t="inlineStr">
        <is>
          <t>One-time transition cost - LOW ($)</t>
        </is>
      </c>
      <c r="B125" s="52" t="n">
        <v>100000</v>
      </c>
      <c r="C125" s="43" t="inlineStr">
        <is>
          <t>ASSUMPTION; input cell B12</t>
        </is>
      </c>
      <c r="D125" s="6" t="n"/>
      <c r="E125" s="6" t="n"/>
      <c r="F125" s="6" t="n"/>
      <c r="G125" s="6" t="n"/>
      <c r="H125" s="6" t="n"/>
      <c r="I125" s="7" t="n"/>
    </row>
    <row r="126">
      <c r="A126" s="24" t="inlineStr">
        <is>
          <t>One-time transition cost - HIGH ($)</t>
        </is>
      </c>
      <c r="B126" s="52" t="n">
        <v>250000</v>
      </c>
      <c r="C126" s="43" t="inlineStr">
        <is>
          <t>ASSUMPTION; input cell B13</t>
        </is>
      </c>
      <c r="D126" s="6" t="n"/>
      <c r="E126" s="6" t="n"/>
      <c r="F126" s="6" t="n"/>
      <c r="G126" s="6" t="n"/>
      <c r="H126" s="6" t="n"/>
      <c r="I126" s="7" t="n"/>
    </row>
    <row r="127">
      <c r="A127" s="11" t="inlineStr">
        <is>
          <t>Year-1 net impact - LOW case ($)</t>
        </is>
      </c>
      <c r="B127" s="50" t="n">
        <v>-115786</v>
      </c>
      <c r="C127" s="43" t="inlineStr">
        <is>
          <t>Variable + fixed LOW + transition LOW</t>
        </is>
      </c>
      <c r="D127" s="6" t="n"/>
      <c r="E127" s="6" t="n"/>
      <c r="F127" s="6" t="n"/>
      <c r="G127" s="6" t="n"/>
      <c r="H127" s="6" t="n"/>
      <c r="I127" s="7" t="n"/>
    </row>
    <row r="128">
      <c r="A128" s="11" t="inlineStr">
        <is>
          <t>Year-1 net impact - HIGH case ($)</t>
        </is>
      </c>
      <c r="B128" s="50" t="n">
        <v>-215786</v>
      </c>
      <c r="C128" s="43" t="inlineStr">
        <is>
          <t>Variable + fixed HIGH + transition HIGH</t>
        </is>
      </c>
      <c r="D128" s="6" t="n"/>
      <c r="E128" s="6" t="n"/>
      <c r="F128" s="6" t="n"/>
      <c r="G128" s="6" t="n"/>
      <c r="H128" s="6" t="n"/>
      <c r="I128" s="7" t="n"/>
    </row>
    <row r="129">
      <c r="A129" s="11" t="inlineStr">
        <is>
          <t>Steady-state annual saving - LOW ($/yr)</t>
        </is>
      </c>
      <c r="B129" s="50" t="n">
        <v>-215786</v>
      </c>
      <c r="C129" s="43" t="inlineStr">
        <is>
          <t>Variable + fixed LOW</t>
        </is>
      </c>
      <c r="D129" s="6" t="n"/>
      <c r="E129" s="6" t="n"/>
      <c r="F129" s="6" t="n"/>
      <c r="G129" s="6" t="n"/>
      <c r="H129" s="6" t="n"/>
      <c r="I129" s="7" t="n"/>
    </row>
    <row r="130">
      <c r="A130" s="11" t="inlineStr">
        <is>
          <t>Steady-state annual saving - HIGH ($/yr)</t>
        </is>
      </c>
      <c r="B130" s="50" t="n">
        <v>-465786</v>
      </c>
      <c r="C130" s="43" t="inlineStr">
        <is>
          <t>Variable + fixed HIGH</t>
        </is>
      </c>
      <c r="D130" s="6" t="n"/>
      <c r="E130" s="6" t="n"/>
      <c r="F130" s="6" t="n"/>
      <c r="G130" s="6" t="n"/>
      <c r="H130" s="6" t="n"/>
      <c r="I130" s="7" t="n"/>
    </row>
    <row r="132">
      <c r="A132" s="55" t="inlineStr">
        <is>
          <t>Feasibility verdict: FEASIBLE WITH FREIGHT RE-ROUTING - single-tenant port; volume moves cross-port, transit improves (5.3 d -&gt; absorber lane average).</t>
        </is>
      </c>
      <c r="B132" s="6" t="n"/>
      <c r="C132" s="6" t="n"/>
      <c r="D132" s="6" t="n"/>
      <c r="E132" s="6" t="n"/>
      <c r="F132" s="6" t="n"/>
      <c r="G132" s="6" t="n"/>
      <c r="H132" s="6" t="n"/>
      <c r="I132" s="7" t="n"/>
    </row>
  </sheetData>
  <mergeCells count="74">
    <mergeCell ref="C36:I36"/>
    <mergeCell ref="C123:I123"/>
    <mergeCell ref="C61:I61"/>
    <mergeCell ref="C39:I39"/>
    <mergeCell ref="C8:I8"/>
    <mergeCell ref="A89:I89"/>
    <mergeCell ref="C82:I82"/>
    <mergeCell ref="C106:I106"/>
    <mergeCell ref="C122:I122"/>
    <mergeCell ref="C125:I125"/>
    <mergeCell ref="C7:I7"/>
    <mergeCell ref="C38:I38"/>
    <mergeCell ref="A50:I50"/>
    <mergeCell ref="C81:I81"/>
    <mergeCell ref="C57:I57"/>
    <mergeCell ref="C37:I37"/>
    <mergeCell ref="C66:I66"/>
    <mergeCell ref="C13:I13"/>
    <mergeCell ref="A71:I71"/>
    <mergeCell ref="A113:I113"/>
    <mergeCell ref="C102:I102"/>
    <mergeCell ref="A47:I47"/>
    <mergeCell ref="C78:I78"/>
    <mergeCell ref="C87:I87"/>
    <mergeCell ref="C77:I77"/>
    <mergeCell ref="C83:I83"/>
    <mergeCell ref="C101:I101"/>
    <mergeCell ref="C86:I86"/>
    <mergeCell ref="C6:I6"/>
    <mergeCell ref="C62:I62"/>
    <mergeCell ref="C42:I42"/>
    <mergeCell ref="C108:I108"/>
    <mergeCell ref="C98:I98"/>
    <mergeCell ref="C104:I104"/>
    <mergeCell ref="C5:I5"/>
    <mergeCell ref="C58:I58"/>
    <mergeCell ref="C107:I107"/>
    <mergeCell ref="A29:I29"/>
    <mergeCell ref="C45:I45"/>
    <mergeCell ref="A68:I68"/>
    <mergeCell ref="C126:I126"/>
    <mergeCell ref="C64:I64"/>
    <mergeCell ref="C79:I79"/>
    <mergeCell ref="C128:I128"/>
    <mergeCell ref="C35:I35"/>
    <mergeCell ref="C103:I103"/>
    <mergeCell ref="C10:I10"/>
    <mergeCell ref="C85:I85"/>
    <mergeCell ref="C100:I100"/>
    <mergeCell ref="C63:I63"/>
    <mergeCell ref="C65:I65"/>
    <mergeCell ref="C41:I41"/>
    <mergeCell ref="A92:I92"/>
    <mergeCell ref="C121:I121"/>
    <mergeCell ref="C99:I99"/>
    <mergeCell ref="C44:I44"/>
    <mergeCell ref="C84:I84"/>
    <mergeCell ref="C40:I40"/>
    <mergeCell ref="C9:I9"/>
    <mergeCell ref="C124:I124"/>
    <mergeCell ref="C80:I80"/>
    <mergeCell ref="C127:I127"/>
    <mergeCell ref="C56:I56"/>
    <mergeCell ref="C129:I129"/>
    <mergeCell ref="C59:I59"/>
    <mergeCell ref="C105:I105"/>
    <mergeCell ref="C43:I43"/>
    <mergeCell ref="C12:I12"/>
    <mergeCell ref="A110:I110"/>
    <mergeCell ref="A132:I132"/>
    <mergeCell ref="C60:I60"/>
    <mergeCell ref="C11:I11"/>
    <mergeCell ref="C120:I120"/>
    <mergeCell ref="C130:I1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1" customWidth="1" min="4" max="4"/>
    <col width="14" customWidth="1" min="5" max="5"/>
    <col width="20" customWidth="1" min="6" max="6"/>
    <col width="11" customWidth="1" min="7" max="7"/>
    <col width="13" customWidth="1" min="8" max="8"/>
    <col width="22" customWidth="1" min="9" max="9"/>
    <col width="12" customWidth="1" min="10" max="10"/>
    <col width="13" customWidth="1" min="11" max="11"/>
    <col width="13" customWidth="1" min="12" max="12"/>
    <col width="18" customWidth="1" min="13" max="13"/>
  </cols>
  <sheetData>
    <row r="1">
      <c r="A1" s="1" t="inlineStr">
        <is>
          <t>CUSTOMER ATTRITION RISK MATRIX - CLOSURE CANDIDATES vs Q4-2023 COMPLAINT &amp; SURVEY DATA</t>
        </is>
      </c>
    </row>
    <row r="2">
      <c r="A2" s="2" t="inlineStr">
        <is>
          <t>Cross-references the Q4 complaint log and satisfaction survey with the five closure candidates. Note the namespace limitation: shipment customers (V-codes) cannot be joined to survey/complaint customers (CUST-xxx) - see Data_Reconciliation F-08.</t>
        </is>
      </c>
    </row>
    <row r="4">
      <c r="A4" s="3" t="inlineStr">
        <is>
          <t>A.  ATTRITION RISK SUMMARY - FIVE CANDIDATES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5" t="inlineStr">
        <is>
          <t>Plant</t>
        </is>
      </c>
      <c r="B5" s="5" t="inlineStr">
        <is>
          <t>Composite Rank</t>
        </is>
      </c>
      <c r="C5" s="5" t="inlineStr">
        <is>
          <t>Complaints (Q4)</t>
        </is>
      </c>
      <c r="D5" s="5" t="inlineStr">
        <is>
          <t>Severity-Weighted Score</t>
        </is>
      </c>
      <c r="E5" s="5" t="inlineStr">
        <is>
          <t>Open / Escalated</t>
        </is>
      </c>
      <c r="F5" s="5" t="inlineStr">
        <is>
          <t>Complaint Categories</t>
        </is>
      </c>
      <c r="G5" s="5" t="inlineStr">
        <is>
          <t>Survey Responses</t>
        </is>
      </c>
      <c r="H5" s="5" t="inlineStr">
        <is>
          <t>Avg Overall Satisfaction</t>
        </is>
      </c>
      <c r="I5" s="5" t="inlineStr">
        <is>
          <t>Avg Delivery Timeliness</t>
        </is>
      </c>
      <c r="J5" s="5" t="inlineStr">
        <is>
          <t>Detractors (Would_Recommend=No)</t>
        </is>
      </c>
      <c r="K5" s="5" t="inlineStr">
        <is>
          <t>Late-Shipment Rate (extract)</t>
        </is>
      </c>
      <c r="L5" s="5" t="inlineStr">
        <is>
          <t>Distinct Shipment Customers</t>
        </is>
      </c>
      <c r="M5" s="5" t="inlineStr">
        <is>
          <t>Attrition Risk Rating</t>
        </is>
      </c>
    </row>
    <row r="6">
      <c r="A6" s="14" t="inlineStr">
        <is>
          <t>PLANT08</t>
        </is>
      </c>
      <c r="B6" s="56" t="n">
        <v>1</v>
      </c>
      <c r="C6" s="56" t="n">
        <v>3</v>
      </c>
      <c r="D6" s="56" t="n">
        <v>6</v>
      </c>
      <c r="E6" s="56" t="n">
        <v>2</v>
      </c>
      <c r="F6" s="18" t="inlineStr">
        <is>
          <t>Late Delivery, Wrong Items</t>
        </is>
      </c>
      <c r="G6" s="56" t="n">
        <v>8</v>
      </c>
      <c r="H6" s="56" t="n">
        <v>3.12</v>
      </c>
      <c r="I6" s="56" t="n">
        <v>2.62</v>
      </c>
      <c r="J6" s="56" t="inlineStr">
        <is>
          <t>4 (50%)</t>
        </is>
      </c>
      <c r="K6" s="56" t="inlineStr">
        <is>
          <t>17.6%</t>
        </is>
      </c>
      <c r="L6" s="56" t="n">
        <v>5</v>
      </c>
      <c r="M6" s="57" t="inlineStr">
        <is>
          <t>HIGH</t>
        </is>
      </c>
    </row>
    <row r="7">
      <c r="A7" s="39" t="inlineStr">
        <is>
          <t>Rationale: 17.6% late rate (network worst), 3 complaints incl. 1 High-severity late delivery, 50% survey detractors, timeliness 2.6/5. Active book (102 orders, 5 shipment customers) means real attrition exposure; migration must be paired with service recovery.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7" t="n"/>
    </row>
    <row r="8">
      <c r="A8" s="14" t="inlineStr">
        <is>
          <t>PLANT19</t>
        </is>
      </c>
      <c r="B8" s="56" t="n">
        <v>2</v>
      </c>
      <c r="C8" s="56" t="n">
        <v>0</v>
      </c>
      <c r="D8" s="56" t="n">
        <v>0</v>
      </c>
      <c r="E8" s="56" t="n">
        <v>0</v>
      </c>
      <c r="F8" s="18" t="inlineStr">
        <is>
          <t>None on file</t>
        </is>
      </c>
      <c r="G8" s="56" t="n">
        <v>0</v>
      </c>
      <c r="H8" s="56" t="inlineStr">
        <is>
          <t>n/a</t>
        </is>
      </c>
      <c r="I8" s="56" t="inlineStr">
        <is>
          <t>n/a</t>
        </is>
      </c>
      <c r="J8" s="56" t="inlineStr">
        <is>
          <t>n/a</t>
        </is>
      </c>
      <c r="K8" s="56" t="inlineStr">
        <is>
          <t>no data</t>
        </is>
      </c>
      <c r="L8" s="56" t="inlineStr">
        <is>
          <t>no data</t>
        </is>
      </c>
      <c r="M8" s="58" t="inlineStr">
        <is>
          <t>MEDIUM (data gap)</t>
        </is>
      </c>
    </row>
    <row r="9">
      <c r="A9" s="39" t="inlineStr">
        <is>
          <t>Rationale: No customer data on file (coverage gap). Zero observable commercial book in extract - assumed minimal attrition exposure; confirm with Finance/CRM before closure.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7" t="n"/>
    </row>
    <row r="10">
      <c r="A10" s="14" t="inlineStr">
        <is>
          <t>PLANT09</t>
        </is>
      </c>
      <c r="B10" s="56" t="n">
        <v>3</v>
      </c>
      <c r="C10" s="56" t="n">
        <v>3</v>
      </c>
      <c r="D10" s="56" t="n">
        <v>7</v>
      </c>
      <c r="E10" s="56" t="n">
        <v>2</v>
      </c>
      <c r="F10" s="18" t="inlineStr">
        <is>
          <t>Communication Gap, Wrong Items</t>
        </is>
      </c>
      <c r="G10" s="56" t="n">
        <v>8</v>
      </c>
      <c r="H10" s="56" t="n">
        <v>2.5</v>
      </c>
      <c r="I10" s="56" t="n">
        <v>2.88</v>
      </c>
      <c r="J10" s="56" t="inlineStr">
        <is>
          <t>4 (50%)</t>
        </is>
      </c>
      <c r="K10" s="56" t="inlineStr">
        <is>
          <t>0.0%</t>
        </is>
      </c>
      <c r="L10" s="56" t="n">
        <v>2</v>
      </c>
      <c r="M10" s="57" t="inlineStr">
        <is>
          <t>HIGH</t>
        </is>
      </c>
    </row>
    <row r="11">
      <c r="A11" s="39" t="inlineStr">
        <is>
          <t>Rationale: Worst satisfaction in network (2.50/5), 50% detractors, 3 complaints (2 open: wrong-items High, POD gap). Tiny book (12 orders, 2 customers) limits exposure; dissatisfied customers may welcome change if service improves at receiver.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7" t="n"/>
    </row>
    <row r="12">
      <c r="A12" s="14" t="inlineStr">
        <is>
          <t>PLANT15</t>
        </is>
      </c>
      <c r="B12" s="56" t="n">
        <v>4</v>
      </c>
      <c r="C12" s="56" t="n">
        <v>0</v>
      </c>
      <c r="D12" s="56" t="n">
        <v>0</v>
      </c>
      <c r="E12" s="56" t="n">
        <v>0</v>
      </c>
      <c r="F12" s="18" t="inlineStr">
        <is>
          <t>None on file</t>
        </is>
      </c>
      <c r="G12" s="56" t="n">
        <v>0</v>
      </c>
      <c r="H12" s="56" t="inlineStr">
        <is>
          <t>n/a</t>
        </is>
      </c>
      <c r="I12" s="56" t="inlineStr">
        <is>
          <t>n/a</t>
        </is>
      </c>
      <c r="J12" s="56" t="inlineStr">
        <is>
          <t>n/a</t>
        </is>
      </c>
      <c r="K12" s="56" t="inlineStr">
        <is>
          <t>no data</t>
        </is>
      </c>
      <c r="L12" s="56" t="inlineStr">
        <is>
          <t>no data</t>
        </is>
      </c>
      <c r="M12" s="58" t="inlineStr">
        <is>
          <t>LOW-MEDIUM (data gap)</t>
        </is>
      </c>
    </row>
    <row r="13">
      <c r="A13" s="39" t="inlineStr">
        <is>
          <t>Rationale: No customer data on file. 11 units/day on the network’s most expensive lane ($100/shipment avg). Exposure assumed minimal but unverified.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7" t="n"/>
    </row>
    <row r="14">
      <c r="A14" s="14" t="inlineStr">
        <is>
          <t>PLANT18</t>
        </is>
      </c>
      <c r="B14" s="56" t="n">
        <v>5</v>
      </c>
      <c r="C14" s="56" t="n">
        <v>0</v>
      </c>
      <c r="D14" s="56" t="n">
        <v>0</v>
      </c>
      <c r="E14" s="56" t="n">
        <v>0</v>
      </c>
      <c r="F14" s="18" t="inlineStr">
        <is>
          <t>None on file</t>
        </is>
      </c>
      <c r="G14" s="56" t="n">
        <v>0</v>
      </c>
      <c r="H14" s="56" t="inlineStr">
        <is>
          <t>n/a</t>
        </is>
      </c>
      <c r="I14" s="56" t="inlineStr">
        <is>
          <t>n/a</t>
        </is>
      </c>
      <c r="J14" s="56" t="inlineStr">
        <is>
          <t>n/a</t>
        </is>
      </c>
      <c r="K14" s="56" t="inlineStr">
        <is>
          <t>no data</t>
        </is>
      </c>
      <c r="L14" s="56" t="inlineStr">
        <is>
          <t>no data</t>
        </is>
      </c>
      <c r="M14" s="58" t="inlineStr">
        <is>
          <t>MEDIUM (data gap)</t>
        </is>
      </c>
    </row>
    <row r="15">
      <c r="A15" s="39" t="inlineStr">
        <is>
          <t>Rationale: No customer data on file. 111 units/day is the largest candidate book by capacity; unverified customer exposure argues for phased consolidation rather than immediate closure.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7" t="n"/>
    </row>
    <row r="17">
      <c r="A17" s="3" t="inlineStr">
        <is>
          <t>B.  COMPLAINT REGISTER - CANDIDATE PLANTS (Q4-2023 complaint log, verbatim)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5" t="inlineStr">
        <is>
          <t>Complaint ID</t>
        </is>
      </c>
      <c r="B18" s="5" t="inlineStr">
        <is>
          <t>Date</t>
        </is>
      </c>
      <c r="C18" s="5" t="inlineStr">
        <is>
          <t>Customer</t>
        </is>
      </c>
      <c r="D18" s="5" t="inlineStr">
        <is>
          <t>Plant</t>
        </is>
      </c>
      <c r="E18" s="5" t="inlineStr">
        <is>
          <t>Category</t>
        </is>
      </c>
      <c r="F18" s="5" t="inlineStr">
        <is>
          <t>Severity</t>
        </is>
      </c>
      <c r="G18" s="5" t="inlineStr">
        <is>
          <t>Status</t>
        </is>
      </c>
      <c r="H18" s="5" t="inlineStr">
        <is>
          <t>Days to Resolve</t>
        </is>
      </c>
      <c r="I18" s="5" t="inlineStr">
        <is>
          <t>Root Cause (verbatim)</t>
        </is>
      </c>
    </row>
    <row r="19">
      <c r="A19" s="31" t="inlineStr">
        <is>
          <t>C-002</t>
        </is>
      </c>
      <c r="B19" s="31" t="inlineStr">
        <is>
          <t>2023-10-16</t>
        </is>
      </c>
      <c r="C19" s="27" t="inlineStr">
        <is>
          <t>CUST-027</t>
        </is>
      </c>
      <c r="D19" s="27" t="inlineStr">
        <is>
          <t>PLANT08</t>
        </is>
      </c>
      <c r="E19" s="31" t="inlineStr">
        <is>
          <t>Late Delivery</t>
        </is>
      </c>
      <c r="F19" s="31" t="inlineStr">
        <is>
          <t>Medium</t>
        </is>
      </c>
      <c r="G19" s="31" t="inlineStr">
        <is>
          <t>Pending</t>
        </is>
      </c>
      <c r="H19" s="31" t="n">
        <v>22</v>
      </c>
      <c r="I19" s="43" t="inlineStr">
        <is>
          <t>High demand period caused carrier capacity shortage on PLANT08 outbound lanes.</t>
        </is>
      </c>
    </row>
    <row r="20">
      <c r="A20" s="31" t="inlineStr">
        <is>
          <t>C-004</t>
        </is>
      </c>
      <c r="B20" s="31" t="inlineStr">
        <is>
          <t>2023-10-27</t>
        </is>
      </c>
      <c r="C20" s="27" t="inlineStr">
        <is>
          <t>CUST-016</t>
        </is>
      </c>
      <c r="D20" s="27" t="inlineStr">
        <is>
          <t>PLANT09</t>
        </is>
      </c>
      <c r="E20" s="31" t="inlineStr">
        <is>
          <t>Communication Gap</t>
        </is>
      </c>
      <c r="F20" s="31" t="inlineStr">
        <is>
          <t>Medium</t>
        </is>
      </c>
      <c r="G20" s="31" t="inlineStr">
        <is>
          <t>Resolved</t>
        </is>
      </c>
      <c r="H20" s="31" t="n">
        <v>8</v>
      </c>
      <c r="I20" s="43" t="inlineStr">
        <is>
          <t>POD (proof of delivery) not transmitted to customer for 5 days after delivery from PLANT09.</t>
        </is>
      </c>
    </row>
    <row r="21">
      <c r="A21" s="31" t="inlineStr">
        <is>
          <t>C-006</t>
        </is>
      </c>
      <c r="B21" s="31" t="inlineStr">
        <is>
          <t>2023-11-01</t>
        </is>
      </c>
      <c r="C21" s="27" t="inlineStr">
        <is>
          <t>CUST-018</t>
        </is>
      </c>
      <c r="D21" s="27" t="inlineStr">
        <is>
          <t>PLANT08</t>
        </is>
      </c>
      <c r="E21" s="31" t="inlineStr">
        <is>
          <t>Wrong Items</t>
        </is>
      </c>
      <c r="F21" s="31" t="inlineStr">
        <is>
          <t>Low</t>
        </is>
      </c>
      <c r="G21" s="31" t="inlineStr">
        <is>
          <t>Pending</t>
        </is>
      </c>
      <c r="H21" s="31" t="n">
        <v>8</v>
      </c>
      <c r="I21" s="43" t="inlineStr">
        <is>
          <t>Labeling mix-up at PLANT08 during high-volume processing shift.</t>
        </is>
      </c>
    </row>
    <row r="22">
      <c r="A22" s="31" t="inlineStr">
        <is>
          <t>C-008</t>
        </is>
      </c>
      <c r="B22" s="31" t="inlineStr">
        <is>
          <t>2023-11-06</t>
        </is>
      </c>
      <c r="C22" s="27" t="inlineStr">
        <is>
          <t>CUST-007</t>
        </is>
      </c>
      <c r="D22" s="27" t="inlineStr">
        <is>
          <t>PLANT08</t>
        </is>
      </c>
      <c r="E22" s="31" t="inlineStr">
        <is>
          <t>Late Delivery</t>
        </is>
      </c>
      <c r="F22" s="31" t="inlineStr">
        <is>
          <t>High</t>
        </is>
      </c>
      <c r="G22" s="31" t="inlineStr">
        <is>
          <t>Resolved</t>
        </is>
      </c>
      <c r="H22" s="31" t="n">
        <v>5</v>
      </c>
      <c r="I22" s="43" t="inlineStr">
        <is>
          <t>Customs clearance delay at destination port. Shipment from PLANT08 held for 3 additional days.</t>
        </is>
      </c>
    </row>
    <row r="23">
      <c r="A23" s="31" t="inlineStr">
        <is>
          <t>C-009</t>
        </is>
      </c>
      <c r="B23" s="31" t="inlineStr">
        <is>
          <t>2023-11-10</t>
        </is>
      </c>
      <c r="C23" s="27" t="inlineStr">
        <is>
          <t>CUST-021</t>
        </is>
      </c>
      <c r="D23" s="27" t="inlineStr">
        <is>
          <t>PLANT09</t>
        </is>
      </c>
      <c r="E23" s="31" t="inlineStr">
        <is>
          <t>Wrong Items</t>
        </is>
      </c>
      <c r="F23" s="31" t="inlineStr">
        <is>
          <t>Medium</t>
        </is>
      </c>
      <c r="G23" s="31" t="inlineStr">
        <is>
          <t>Pending</t>
        </is>
      </c>
      <c r="H23" s="31" t="n">
        <v>22</v>
      </c>
      <c r="I23" s="43" t="inlineStr">
        <is>
          <t>Labeling mix-up at PLANT09 during high-volume processing shift.</t>
        </is>
      </c>
    </row>
    <row r="24">
      <c r="A24" s="31" t="inlineStr">
        <is>
          <t>C-014</t>
        </is>
      </c>
      <c r="B24" s="31" t="inlineStr">
        <is>
          <t>2023-12-05</t>
        </is>
      </c>
      <c r="C24" s="27" t="inlineStr">
        <is>
          <t>CUST-016</t>
        </is>
      </c>
      <c r="D24" s="27" t="inlineStr">
        <is>
          <t>PLANT09</t>
        </is>
      </c>
      <c r="E24" s="31" t="inlineStr">
        <is>
          <t>Wrong Items</t>
        </is>
      </c>
      <c r="F24" s="31" t="inlineStr">
        <is>
          <t>High</t>
        </is>
      </c>
      <c r="G24" s="31" t="inlineStr">
        <is>
          <t>Pending</t>
        </is>
      </c>
      <c r="H24" s="31" t="n">
        <v>5</v>
      </c>
      <c r="I24" s="43" t="inlineStr">
        <is>
          <t>Pick-and-pack error at PLANT09. Wrong SKU pulled from adjacent bin location.</t>
        </is>
      </c>
    </row>
    <row r="26">
      <c r="A26" s="3" t="inlineStr">
        <is>
          <t>C.  SURVEY DETRACTORS AT CANDIDATE PLANTS (Would_Recommend = No)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5" t="inlineStr">
        <is>
          <t>Response ID</t>
        </is>
      </c>
      <c r="B27" s="5" t="inlineStr">
        <is>
          <t>Customer</t>
        </is>
      </c>
      <c r="C27" s="5" t="inlineStr">
        <is>
          <t>Survey Date</t>
        </is>
      </c>
      <c r="D27" s="5" t="inlineStr">
        <is>
          <t>Plant</t>
        </is>
      </c>
      <c r="E27" s="5" t="inlineStr">
        <is>
          <t>Overall</t>
        </is>
      </c>
      <c r="F27" s="5" t="inlineStr">
        <is>
          <t>Timeliness</t>
        </is>
      </c>
      <c r="G27" s="5" t="inlineStr">
        <is>
          <t>Order Accuracy</t>
        </is>
      </c>
      <c r="H27" s="5" t="inlineStr">
        <is>
          <t>Communication</t>
        </is>
      </c>
      <c r="I27" s="5" t="inlineStr">
        <is>
          <t>Open Comment (verbatim)</t>
        </is>
      </c>
    </row>
    <row r="28">
      <c r="A28" s="31" t="n">
        <v>5</v>
      </c>
      <c r="B28" s="31" t="inlineStr">
        <is>
          <t>CUST-030</t>
        </is>
      </c>
      <c r="C28" s="27" t="inlineStr">
        <is>
          <t>2023-10-07</t>
        </is>
      </c>
      <c r="D28" s="31" t="inlineStr">
        <is>
          <t>PLANT09</t>
        </is>
      </c>
      <c r="E28" s="31" t="n">
        <v>2</v>
      </c>
      <c r="F28" s="31" t="n">
        <v>2</v>
      </c>
      <c r="G28" s="31" t="n">
        <v>3</v>
      </c>
      <c r="H28" s="31" t="n">
        <v>3</v>
      </c>
      <c r="I28" s="43" t="inlineStr">
        <is>
          <t>Processing times at this facility are far too long. Need more capacity or rerouting.</t>
        </is>
      </c>
    </row>
    <row r="29">
      <c r="A29" s="31" t="n">
        <v>9</v>
      </c>
      <c r="B29" s="31" t="inlineStr">
        <is>
          <t>CUST-026</t>
        </is>
      </c>
      <c r="C29" s="27" t="inlineStr">
        <is>
          <t>2023-10-13</t>
        </is>
      </c>
      <c r="D29" s="31" t="inlineStr">
        <is>
          <t>PLANT08</t>
        </is>
      </c>
      <c r="E29" s="31" t="n">
        <v>2</v>
      </c>
      <c r="F29" s="31" t="n">
        <v>2</v>
      </c>
      <c r="G29" s="31" t="n">
        <v>2</v>
      </c>
      <c r="H29" s="31" t="n">
        <v>3</v>
      </c>
      <c r="I29" s="43" t="inlineStr">
        <is>
          <t>Warehouse appears overwhelmed. Orders are sitting for days before being processed.</t>
        </is>
      </c>
    </row>
    <row r="30">
      <c r="A30" s="31" t="n">
        <v>10</v>
      </c>
      <c r="B30" s="31" t="inlineStr">
        <is>
          <t>CUST-011</t>
        </is>
      </c>
      <c r="C30" s="27" t="inlineStr">
        <is>
          <t>2023-10-15</t>
        </is>
      </c>
      <c r="D30" s="31" t="inlineStr">
        <is>
          <t>PLANT08</t>
        </is>
      </c>
      <c r="E30" s="31" t="n">
        <v>3</v>
      </c>
      <c r="F30" s="31" t="n">
        <v>3</v>
      </c>
      <c r="G30" s="31" t="n">
        <v>3</v>
      </c>
      <c r="H30" s="31" t="n">
        <v>2</v>
      </c>
      <c r="I30" s="43" t="inlineStr">
        <is>
          <t>Average experience. Nothing exceptional but no significant problems either.</t>
        </is>
      </c>
    </row>
    <row r="31">
      <c r="A31" s="31" t="n">
        <v>16</v>
      </c>
      <c r="B31" s="31" t="inlineStr">
        <is>
          <t>CUST-034</t>
        </is>
      </c>
      <c r="C31" s="27" t="inlineStr">
        <is>
          <t>2023-10-25</t>
        </is>
      </c>
      <c r="D31" s="31" t="inlineStr">
        <is>
          <t>PLANT09</t>
        </is>
      </c>
      <c r="E31" s="31" t="n">
        <v>2</v>
      </c>
      <c r="F31" s="31" t="n">
        <v>4</v>
      </c>
      <c r="G31" s="31" t="n">
        <v>2</v>
      </c>
      <c r="H31" s="31" t="n">
        <v>2</v>
      </c>
      <c r="I31" s="43" t="inlineStr">
        <is>
          <t>Multiple shipments arrived 3-5 days late. This disrupted our production schedule significantly.</t>
        </is>
      </c>
    </row>
    <row r="32">
      <c r="A32" s="31" t="n">
        <v>29</v>
      </c>
      <c r="B32" s="31" t="inlineStr">
        <is>
          <t>CUST-007</t>
        </is>
      </c>
      <c r="C32" s="27" t="inlineStr">
        <is>
          <t>2023-11-21</t>
        </is>
      </c>
      <c r="D32" s="31" t="inlineStr">
        <is>
          <t>PLANT08</t>
        </is>
      </c>
      <c r="E32" s="31" t="n">
        <v>3</v>
      </c>
      <c r="F32" s="31" t="n">
        <v>3</v>
      </c>
      <c r="G32" s="31" t="n">
        <v>4</v>
      </c>
      <c r="H32" s="31" t="n">
        <v>2</v>
      </c>
      <c r="I32" s="43" t="inlineStr">
        <is>
          <t>No major complaints, but communication could be more proactive.</t>
        </is>
      </c>
    </row>
    <row r="33">
      <c r="A33" s="31" t="n">
        <v>37</v>
      </c>
      <c r="B33" s="31" t="inlineStr">
        <is>
          <t>CUST-025</t>
        </is>
      </c>
      <c r="C33" s="27" t="inlineStr">
        <is>
          <t>2023-12-13</t>
        </is>
      </c>
      <c r="D33" s="31" t="inlineStr">
        <is>
          <t>PLANT09</t>
        </is>
      </c>
      <c r="E33" s="31" t="n">
        <v>2</v>
      </c>
      <c r="F33" s="31" t="n">
        <v>2</v>
      </c>
      <c r="G33" s="31" t="n">
        <v>2</v>
      </c>
      <c r="H33" s="31" t="n">
        <v>3</v>
      </c>
      <c r="I33" s="43" t="inlineStr">
        <is>
          <t>Suspected capacity issues at the servicing plant. Fulfillment times have doubled.</t>
        </is>
      </c>
    </row>
    <row r="34">
      <c r="A34" s="31" t="n">
        <v>46</v>
      </c>
      <c r="B34" s="31" t="inlineStr">
        <is>
          <t>CUST-027</t>
        </is>
      </c>
      <c r="C34" s="27" t="inlineStr">
        <is>
          <t>2023-12-26</t>
        </is>
      </c>
      <c r="D34" s="31" t="inlineStr">
        <is>
          <t>PLANT08</t>
        </is>
      </c>
      <c r="E34" s="31" t="n">
        <v>2</v>
      </c>
      <c r="F34" s="31" t="n">
        <v>2</v>
      </c>
      <c r="G34" s="31" t="n">
        <v>4</v>
      </c>
      <c r="H34" s="31" t="n">
        <v>3</v>
      </c>
      <c r="I34" s="43" t="inlineStr">
        <is>
          <t>Suspected capacity issues at the servicing plant. Fulfillment times have doubled.</t>
        </is>
      </c>
    </row>
    <row r="35">
      <c r="A35" s="31" t="n">
        <v>50</v>
      </c>
      <c r="B35" s="31" t="inlineStr">
        <is>
          <t>CUST-021</t>
        </is>
      </c>
      <c r="C35" s="27" t="inlineStr">
        <is>
          <t>2023-12-31</t>
        </is>
      </c>
      <c r="D35" s="31" t="inlineStr">
        <is>
          <t>PLANT09</t>
        </is>
      </c>
      <c r="E35" s="31" t="n">
        <v>2</v>
      </c>
      <c r="F35" s="31" t="n">
        <v>4</v>
      </c>
      <c r="G35" s="31" t="n">
        <v>2</v>
      </c>
      <c r="H35" s="31" t="n">
        <v>2</v>
      </c>
      <c r="I35" s="43" t="inlineStr">
        <is>
          <t>Two out of three orders this quarter were late. Unacceptable for DTD service level.</t>
        </is>
      </c>
    </row>
    <row r="37">
      <c r="A37" s="3" t="inlineStr">
        <is>
          <t>D.  MITIGATION REGISTER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5" t="inlineStr">
        <is>
          <t>Plant</t>
        </is>
      </c>
      <c r="B38" s="5" t="inlineStr">
        <is>
          <t>Action</t>
        </is>
      </c>
      <c r="C38" s="5" t="inlineStr">
        <is>
          <t>Owner (proposed)</t>
        </is>
      </c>
      <c r="D38" s="5" t="inlineStr">
        <is>
          <t>Timing</t>
        </is>
      </c>
      <c r="E38" s="5" t="inlineStr">
        <is>
          <t>Success Measure</t>
        </is>
      </c>
    </row>
    <row r="39">
      <c r="A39" s="59" t="inlineStr">
        <is>
          <t>PLANT08</t>
        </is>
      </c>
      <c r="B39" s="43" t="inlineStr">
        <is>
          <t>90-day service recovery at receiver (PLANT03/13): daily POD transmission, carrier capacity reservation on PORT04 outbound, billing audit</t>
        </is>
      </c>
      <c r="C39" s="43" t="inlineStr">
        <is>
          <t>Dir. Operations</t>
        </is>
      </c>
      <c r="D39" s="43" t="inlineStr">
        <is>
          <t>Pre-migration</t>
        </is>
      </c>
      <c r="E39" s="43" t="inlineStr">
        <is>
          <t>Late rate &lt; 3%; detractor share &lt; 20%</t>
        </is>
      </c>
    </row>
    <row r="40">
      <c r="A40" s="59" t="inlineStr">
        <is>
          <t>PLANT08</t>
        </is>
      </c>
      <c r="B40" s="43" t="inlineStr">
        <is>
          <t>Named-account retention calls to all 5 shipment customers + 4 survey detractors before cutover</t>
        </is>
      </c>
      <c r="C40" s="43" t="inlineStr">
        <is>
          <t>VP Sales</t>
        </is>
      </c>
      <c r="D40" s="43" t="inlineStr">
        <is>
          <t>Weeks 1-4</t>
        </is>
      </c>
      <c r="E40" s="43" t="inlineStr">
        <is>
          <t>Zero defections; signed acknowledgements</t>
        </is>
      </c>
    </row>
    <row r="41">
      <c r="A41" s="59" t="inlineStr">
        <is>
          <t>PLANT09</t>
        </is>
      </c>
      <c r="B41" s="43" t="inlineStr">
        <is>
          <t>Fix open wrong-items (High) and POD gap before migrating book; root-cause bin-location errors</t>
        </is>
      </c>
      <c r="C41" s="43" t="inlineStr">
        <is>
          <t>Dir. Operations</t>
        </is>
      </c>
      <c r="D41" s="43" t="inlineStr">
        <is>
          <t>Weeks 1-6</t>
        </is>
      </c>
      <c r="E41" s="43" t="inlineStr">
        <is>
          <t>Both open complaints closed</t>
        </is>
      </c>
    </row>
    <row r="42">
      <c r="A42" s="59" t="inlineStr">
        <is>
          <t>PLANT19</t>
        </is>
      </c>
      <c r="B42" s="43" t="inlineStr">
        <is>
          <t>Confirm zero commercial book with Finance/CRM; publish closure notice network-wide</t>
        </is>
      </c>
      <c r="C42" s="43" t="inlineStr">
        <is>
          <t>CFO office</t>
        </is>
      </c>
      <c r="D42" s="43" t="inlineStr">
        <is>
          <t>Weeks 1-2</t>
        </is>
      </c>
      <c r="E42" s="43" t="inlineStr">
        <is>
          <t>Written confirmation of no active accounts</t>
        </is>
      </c>
    </row>
    <row r="43">
      <c r="A43" s="59" t="inlineStr">
        <is>
          <t>PLANT15</t>
        </is>
      </c>
      <c r="B43" s="43" t="inlineStr">
        <is>
          <t>Re-route 11 units/day to PLANT07 (PORT02); re-contract lane; notify any dormant accounts discovered in CRM sweep</t>
        </is>
      </c>
      <c r="C43" s="43" t="inlineStr">
        <is>
          <t>VP Supply Chain</t>
        </is>
      </c>
      <c r="D43" s="43" t="inlineStr">
        <is>
          <t>Weeks 2-8</t>
        </is>
      </c>
      <c r="E43" s="43" t="inlineStr">
        <is>
          <t>Lane live; transit &lt;= 2 days</t>
        </is>
      </c>
    </row>
    <row r="44">
      <c r="A44" s="59" t="inlineStr">
        <is>
          <t>PLANT18</t>
        </is>
      </c>
      <c r="B44" s="43" t="inlineStr">
        <is>
          <t>Phased 2-quarter migration to PLANT07/PLANT04; obtain customer + volume data for PLANT18 before final closure</t>
        </is>
      </c>
      <c r="C44" s="43" t="inlineStr">
        <is>
          <t>VP Supply Chain</t>
        </is>
      </c>
      <c r="D44" s="43" t="inlineStr">
        <is>
          <t>Quarters 1-2</t>
        </is>
      </c>
      <c r="E44" s="43" t="inlineStr">
        <is>
          <t>Book migrated; no service regression</t>
        </is>
      </c>
    </row>
  </sheetData>
  <mergeCells count="5">
    <mergeCell ref="A13:M13"/>
    <mergeCell ref="A9:M9"/>
    <mergeCell ref="A15:M15"/>
    <mergeCell ref="A7:M7"/>
    <mergeCell ref="A11:M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34" customWidth="1" min="4" max="4"/>
    <col width="16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DATA RECONCILIATION - MEMO CLAIMS vs SOURCE DATA, AND PLANT CODE COVERAGE</t>
        </is>
      </c>
    </row>
    <row r="2">
      <c r="A2" s="2" t="inlineStr">
        <is>
          <t>Independent verification of the COO engagement memo (15-Jan-2024) against the shipment extract and reference datasets, plus plant-code coverage reconciliation across all seven datasets.</t>
        </is>
      </c>
    </row>
    <row r="4">
      <c r="A4" s="3" t="inlineStr">
        <is>
          <t>A.  VERIFICATION OF KEY OPERATIONAL CLAIMS IN THE ENGAGEMENT MEMO</t>
        </is>
      </c>
      <c r="B4" s="4" t="n"/>
      <c r="C4" s="4" t="n"/>
      <c r="D4" s="4" t="n"/>
      <c r="E4" s="4" t="n"/>
      <c r="F4" s="4" t="n"/>
    </row>
    <row r="5">
      <c r="A5" s="5" t="inlineStr">
        <is>
          <t>ID</t>
        </is>
      </c>
      <c r="B5" s="5" t="inlineStr">
        <is>
          <t>Memo Claim (section)</t>
        </is>
      </c>
      <c r="C5" s="5" t="inlineStr">
        <is>
          <t>Verification Method</t>
        </is>
      </c>
      <c r="D5" s="5" t="inlineStr">
        <is>
          <t>Evidence Found</t>
        </is>
      </c>
      <c r="E5" s="5" t="inlineStr">
        <is>
          <t>Verdict</t>
        </is>
      </c>
    </row>
    <row r="6" ht="40" customHeight="1">
      <c r="A6" s="23" t="inlineStr">
        <is>
          <t>C-1</t>
        </is>
      </c>
      <c r="B6" s="43" t="inlineStr">
        <is>
          <t>Network operates 19 distribution plants (Sec.1)</t>
        </is>
      </c>
      <c r="C6" s="43" t="inlineStr">
        <is>
          <t>Count distinct Plant_Code in WhCapacities / WhCosts / PlantPorts</t>
        </is>
      </c>
      <c r="D6" s="43" t="inlineStr">
        <is>
          <t>19 / 19 / 19 distinct plant codes</t>
        </is>
      </c>
      <c r="E6" s="60" t="inlineStr">
        <is>
          <t>VERIFIED</t>
        </is>
      </c>
    </row>
    <row r="7" ht="40" customHeight="1">
      <c r="A7" s="23" t="inlineStr">
        <is>
          <t>C-2</t>
        </is>
      </c>
      <c r="B7" s="43" t="inlineStr">
        <is>
          <t>Network processes roughly 9,000+ individual shipments annually (Sec.1)</t>
        </is>
      </c>
      <c r="C7" s="43" t="inlineStr">
        <is>
          <t>Row count of OrderList.csv</t>
        </is>
      </c>
      <c r="D7" s="43" t="inlineStr">
        <is>
          <t>9,215 order lines in extract</t>
        </is>
      </c>
      <c r="E7" s="60" t="inlineStr">
        <is>
          <t>VERIFIED</t>
        </is>
      </c>
    </row>
    <row r="8" ht="40" customHeight="1">
      <c r="A8" s="23" t="inlineStr">
        <is>
          <t>C-3</t>
        </is>
      </c>
      <c r="B8" s="43" t="inlineStr">
        <is>
          <t>Approximately 2% of all orders ship late (Sec.2)</t>
        </is>
      </c>
      <c r="C8" s="43" t="inlineStr">
        <is>
          <t>Share of OrderList rows with Ship_Late_Day_Count &gt; 0</t>
        </is>
      </c>
      <c r="D8" s="43" t="inlineStr">
        <is>
          <t>192 of 9,215 orders late = 2.08%</t>
        </is>
      </c>
      <c r="E8" s="60" t="inlineStr">
        <is>
          <t>VERIFIED</t>
        </is>
      </c>
    </row>
    <row r="9" ht="40" customHeight="1">
      <c r="A9" s="23" t="inlineStr">
        <is>
          <t>C-4</t>
        </is>
      </c>
      <c r="B9" s="43" t="inlineStr">
        <is>
          <t>PLANT01 handles ~1,070 units/day; PLANT15 ~11 units/day (Sec.2)</t>
        </is>
      </c>
      <c r="C9" s="43" t="inlineStr">
        <is>
          <t>Compare to WhCapacities Daily_Capacity</t>
        </is>
      </c>
      <c r="D9" s="43" t="inlineStr">
        <is>
          <t>Figures equal stated daily capacity exactly (1,070 / 11); OrderList cannot validate daily throughput (unit-basis mismatch, single-day extract)</t>
        </is>
      </c>
      <c r="E9" s="58" t="inlineStr">
        <is>
          <t>MISCHARACTERIZED</t>
        </is>
      </c>
    </row>
    <row r="10" ht="40" customHeight="1">
      <c r="A10" s="23" t="inlineStr">
        <is>
          <t>C-5</t>
        </is>
      </c>
      <c r="B10" s="43" t="inlineStr">
        <is>
          <t>Shipments span SEA, AIR and ROAD modes (Sec.1)</t>
        </is>
      </c>
      <c r="C10" s="43" t="inlineStr">
        <is>
          <t>Mode coverage in OrderList / FreightRates</t>
        </is>
      </c>
      <c r="D10" s="43" t="inlineStr">
        <is>
          <t>OrderList carries no mode field; FreightRates contains only AIR and GROUND; SEA unobservable in any dataset</t>
        </is>
      </c>
      <c r="E10" s="57" t="inlineStr">
        <is>
          <t>NOT VERIFIABLE</t>
        </is>
      </c>
    </row>
    <row r="11" ht="40" customHeight="1">
      <c r="A11" s="23" t="inlineStr">
        <is>
          <t>C-6</t>
        </is>
      </c>
      <c r="B11" s="43" t="inlineStr">
        <is>
          <t>AIR exhibits significantly higher per-unit costs than SEA and ROAD (Sec.2)</t>
        </is>
      </c>
      <c r="C11" s="43" t="inlineStr">
        <is>
          <t>Compare slab rates by mode in FreightRates</t>
        </is>
      </c>
      <c r="D11" s="43" t="inlineStr">
        <is>
          <t>AIR slab rates $0.048-$18.96/kg; GROUND (only alternative) $12.28-$128.03/kg on 29 rows - blended GROUND rates exceed AIR; claim not supported as stated</t>
        </is>
      </c>
      <c r="E11" s="57" t="inlineStr">
        <is>
          <t>NOT SUPPORTED</t>
        </is>
      </c>
    </row>
    <row r="12" ht="40" customHeight="1">
      <c r="A12" s="23" t="inlineStr">
        <is>
          <t>C-7</t>
        </is>
      </c>
      <c r="B12" s="43" t="inlineStr">
        <is>
          <t>WhCosts contains fixed and variable cost components (Sec.4)</t>
        </is>
      </c>
      <c r="C12" s="43" t="inlineStr">
        <is>
          <t>Inspect WhCosts.csv schema</t>
        </is>
      </c>
      <c r="D12" s="43" t="inlineStr">
        <is>
          <t>Single column 'Cost_Per_Unit'; no fixed-cost component provided</t>
        </is>
      </c>
      <c r="E12" s="57" t="inlineStr">
        <is>
          <t>NOT SUPPORTED</t>
        </is>
      </c>
    </row>
    <row r="13" ht="40" customHeight="1">
      <c r="A13" s="23" t="inlineStr">
        <is>
          <t>C-8</t>
        </is>
      </c>
      <c r="B13" s="43" t="inlineStr">
        <is>
          <t>PlantPorts maps plants to port terminals for DTP/CRF routing (Sec.4)</t>
        </is>
      </c>
      <c r="C13" s="43" t="inlineStr">
        <is>
          <t>Join OrderList Orig_Port to PlantPorts mapping</t>
        </is>
      </c>
      <c r="D13" s="43" t="inlineStr">
        <is>
          <t>100% of covered plants' origin ports match PlantPorts mapping (0 of 7 mismatches)</t>
        </is>
      </c>
      <c r="E13" s="60" t="inlineStr">
        <is>
          <t>VERIFIED</t>
        </is>
      </c>
    </row>
    <row r="15">
      <c r="A15" s="3" t="inlineStr">
        <is>
          <t>B.  PLANT CODE COVERAGE MATRIX - 19 PLANTS x 7 DATASETS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5" t="inlineStr">
        <is>
          <t>Plant</t>
        </is>
      </c>
      <c r="B16" s="5" t="inlineStr">
        <is>
          <t>WhCapacities</t>
        </is>
      </c>
      <c r="C16" s="5" t="inlineStr">
        <is>
          <t>WhCosts</t>
        </is>
      </c>
      <c r="D16" s="5" t="inlineStr">
        <is>
          <t>PlantPorts</t>
        </is>
      </c>
      <c r="E16" s="5" t="inlineStr">
        <is>
          <t>OrderList</t>
        </is>
      </c>
      <c r="F16" s="5" t="inlineStr">
        <is>
          <t>Survey_Results</t>
        </is>
      </c>
      <c r="G16" s="5" t="inlineStr">
        <is>
          <t>Complaint_Log</t>
        </is>
      </c>
      <c r="H16" s="5" t="inlineStr">
        <is>
          <t>FreightRates*</t>
        </is>
      </c>
      <c r="I16" s="5" t="inlineStr">
        <is>
          <t>Ports Served</t>
        </is>
      </c>
      <c r="J16" s="5" t="inlineStr">
        <is>
          <t>Coverage Flag</t>
        </is>
      </c>
    </row>
    <row r="17">
      <c r="A17" s="11" t="inlineStr">
        <is>
          <t>PLANT01</t>
        </is>
      </c>
      <c r="B17" s="61" t="inlineStr">
        <is>
          <t>Y</t>
        </is>
      </c>
      <c r="C17" s="61" t="inlineStr">
        <is>
          <t>Y</t>
        </is>
      </c>
      <c r="D17" s="61" t="inlineStr">
        <is>
          <t>Y</t>
        </is>
      </c>
      <c r="E17" s="62" t="inlineStr">
        <is>
          <t>-</t>
        </is>
      </c>
      <c r="F17" s="62" t="inlineStr">
        <is>
          <t>-</t>
        </is>
      </c>
      <c r="G17" s="62" t="inlineStr">
        <is>
          <t>-</t>
        </is>
      </c>
      <c r="H17" s="61" t="inlineStr">
        <is>
          <t>Y</t>
        </is>
      </c>
      <c r="I17" s="27" t="inlineStr">
        <is>
          <t>PORT01, PORT02</t>
        </is>
      </c>
      <c r="J17" s="63" t="inlineStr">
        <is>
          <t>STRUCTURAL ONLY (no order/survey/complaint data)</t>
        </is>
      </c>
    </row>
    <row r="18">
      <c r="A18" s="11" t="inlineStr">
        <is>
          <t>PLANT02</t>
        </is>
      </c>
      <c r="B18" s="61" t="inlineStr">
        <is>
          <t>Y</t>
        </is>
      </c>
      <c r="C18" s="61" t="inlineStr">
        <is>
          <t>Y</t>
        </is>
      </c>
      <c r="D18" s="61" t="inlineStr">
        <is>
          <t>Y</t>
        </is>
      </c>
      <c r="E18" s="62" t="inlineStr">
        <is>
          <t>-</t>
        </is>
      </c>
      <c r="F18" s="62" t="inlineStr">
        <is>
          <t>-</t>
        </is>
      </c>
      <c r="G18" s="62" t="inlineStr">
        <is>
          <t>-</t>
        </is>
      </c>
      <c r="H18" s="61" t="inlineStr">
        <is>
          <t>Y</t>
        </is>
      </c>
      <c r="I18" s="27" t="inlineStr">
        <is>
          <t>PORT03</t>
        </is>
      </c>
      <c r="J18" s="63" t="inlineStr">
        <is>
          <t>STRUCTURAL ONLY (no order/survey/complaint data)</t>
        </is>
      </c>
    </row>
    <row r="19">
      <c r="A19" s="11" t="inlineStr">
        <is>
          <t>PLANT03</t>
        </is>
      </c>
      <c r="B19" s="61" t="inlineStr">
        <is>
          <t>Y</t>
        </is>
      </c>
      <c r="C19" s="61" t="inlineStr">
        <is>
          <t>Y</t>
        </is>
      </c>
      <c r="D19" s="61" t="inlineStr">
        <is>
          <t>Y</t>
        </is>
      </c>
      <c r="E19" s="61" t="inlineStr">
        <is>
          <t>Y</t>
        </is>
      </c>
      <c r="F19" s="61" t="inlineStr">
        <is>
          <t>Y</t>
        </is>
      </c>
      <c r="G19" s="61" t="inlineStr">
        <is>
          <t>Y</t>
        </is>
      </c>
      <c r="H19" s="61" t="inlineStr">
        <is>
          <t>Y</t>
        </is>
      </c>
      <c r="I19" s="27" t="inlineStr">
        <is>
          <t>PORT04</t>
        </is>
      </c>
      <c r="J19" s="64" t="inlineStr">
        <is>
          <t>FULL</t>
        </is>
      </c>
    </row>
    <row r="20">
      <c r="A20" s="11" t="inlineStr">
        <is>
          <t>PLANT04</t>
        </is>
      </c>
      <c r="B20" s="61" t="inlineStr">
        <is>
          <t>Y</t>
        </is>
      </c>
      <c r="C20" s="61" t="inlineStr">
        <is>
          <t>Y</t>
        </is>
      </c>
      <c r="D20" s="61" t="inlineStr">
        <is>
          <t>Y</t>
        </is>
      </c>
      <c r="E20" s="61" t="inlineStr">
        <is>
          <t>Y</t>
        </is>
      </c>
      <c r="F20" s="61" t="inlineStr">
        <is>
          <t>Y</t>
        </is>
      </c>
      <c r="G20" s="61" t="inlineStr">
        <is>
          <t>Y</t>
        </is>
      </c>
      <c r="H20" s="61" t="inlineStr">
        <is>
          <t>Y</t>
        </is>
      </c>
      <c r="I20" s="27" t="inlineStr">
        <is>
          <t>PORT05</t>
        </is>
      </c>
      <c r="J20" s="64" t="inlineStr">
        <is>
          <t>FULL</t>
        </is>
      </c>
    </row>
    <row r="21">
      <c r="A21" s="11" t="inlineStr">
        <is>
          <t>PLANT05</t>
        </is>
      </c>
      <c r="B21" s="61" t="inlineStr">
        <is>
          <t>Y</t>
        </is>
      </c>
      <c r="C21" s="61" t="inlineStr">
        <is>
          <t>Y</t>
        </is>
      </c>
      <c r="D21" s="61" t="inlineStr">
        <is>
          <t>Y</t>
        </is>
      </c>
      <c r="E21" s="62" t="inlineStr">
        <is>
          <t>-</t>
        </is>
      </c>
      <c r="F21" s="62" t="inlineStr">
        <is>
          <t>-</t>
        </is>
      </c>
      <c r="G21" s="62" t="inlineStr">
        <is>
          <t>-</t>
        </is>
      </c>
      <c r="H21" s="61" t="inlineStr">
        <is>
          <t>Y</t>
        </is>
      </c>
      <c r="I21" s="27" t="inlineStr">
        <is>
          <t>PORT06</t>
        </is>
      </c>
      <c r="J21" s="63" t="inlineStr">
        <is>
          <t>STRUCTURAL ONLY (no order/survey/complaint data)</t>
        </is>
      </c>
    </row>
    <row r="22">
      <c r="A22" s="11" t="inlineStr">
        <is>
          <t>PLANT06</t>
        </is>
      </c>
      <c r="B22" s="61" t="inlineStr">
        <is>
          <t>Y</t>
        </is>
      </c>
      <c r="C22" s="61" t="inlineStr">
        <is>
          <t>Y</t>
        </is>
      </c>
      <c r="D22" s="61" t="inlineStr">
        <is>
          <t>Y</t>
        </is>
      </c>
      <c r="E22" s="62" t="inlineStr">
        <is>
          <t>-</t>
        </is>
      </c>
      <c r="F22" s="62" t="inlineStr">
        <is>
          <t>-</t>
        </is>
      </c>
      <c r="G22" s="62" t="inlineStr">
        <is>
          <t>-</t>
        </is>
      </c>
      <c r="H22" s="61" t="inlineStr">
        <is>
          <t>Y</t>
        </is>
      </c>
      <c r="I22" s="27" t="inlineStr">
        <is>
          <t>PORT06</t>
        </is>
      </c>
      <c r="J22" s="63" t="inlineStr">
        <is>
          <t>STRUCTURAL ONLY (no order/survey/complaint data)</t>
        </is>
      </c>
    </row>
    <row r="23">
      <c r="A23" s="11" t="inlineStr">
        <is>
          <t>PLANT07</t>
        </is>
      </c>
      <c r="B23" s="61" t="inlineStr">
        <is>
          <t>Y</t>
        </is>
      </c>
      <c r="C23" s="61" t="inlineStr">
        <is>
          <t>Y</t>
        </is>
      </c>
      <c r="D23" s="61" t="inlineStr">
        <is>
          <t>Y</t>
        </is>
      </c>
      <c r="E23" s="62" t="inlineStr">
        <is>
          <t>-</t>
        </is>
      </c>
      <c r="F23" s="62" t="inlineStr">
        <is>
          <t>-</t>
        </is>
      </c>
      <c r="G23" s="62" t="inlineStr">
        <is>
          <t>-</t>
        </is>
      </c>
      <c r="H23" s="61" t="inlineStr">
        <is>
          <t>Y</t>
        </is>
      </c>
      <c r="I23" s="27" t="inlineStr">
        <is>
          <t>PORT01, PORT02</t>
        </is>
      </c>
      <c r="J23" s="63" t="inlineStr">
        <is>
          <t>STRUCTURAL ONLY (no order/survey/complaint data)</t>
        </is>
      </c>
    </row>
    <row r="24">
      <c r="A24" s="11" t="inlineStr">
        <is>
          <t>PLANT08</t>
        </is>
      </c>
      <c r="B24" s="61" t="inlineStr">
        <is>
          <t>Y</t>
        </is>
      </c>
      <c r="C24" s="61" t="inlineStr">
        <is>
          <t>Y</t>
        </is>
      </c>
      <c r="D24" s="61" t="inlineStr">
        <is>
          <t>Y</t>
        </is>
      </c>
      <c r="E24" s="61" t="inlineStr">
        <is>
          <t>Y</t>
        </is>
      </c>
      <c r="F24" s="61" t="inlineStr">
        <is>
          <t>Y</t>
        </is>
      </c>
      <c r="G24" s="61" t="inlineStr">
        <is>
          <t>Y</t>
        </is>
      </c>
      <c r="H24" s="61" t="inlineStr">
        <is>
          <t>Y</t>
        </is>
      </c>
      <c r="I24" s="27" t="inlineStr">
        <is>
          <t>PORT04</t>
        </is>
      </c>
      <c r="J24" s="64" t="inlineStr">
        <is>
          <t>FULL</t>
        </is>
      </c>
    </row>
    <row r="25">
      <c r="A25" s="11" t="inlineStr">
        <is>
          <t>PLANT09</t>
        </is>
      </c>
      <c r="B25" s="61" t="inlineStr">
        <is>
          <t>Y</t>
        </is>
      </c>
      <c r="C25" s="61" t="inlineStr">
        <is>
          <t>Y</t>
        </is>
      </c>
      <c r="D25" s="61" t="inlineStr">
        <is>
          <t>Y</t>
        </is>
      </c>
      <c r="E25" s="61" t="inlineStr">
        <is>
          <t>Y</t>
        </is>
      </c>
      <c r="F25" s="61" t="inlineStr">
        <is>
          <t>Y</t>
        </is>
      </c>
      <c r="G25" s="61" t="inlineStr">
        <is>
          <t>Y</t>
        </is>
      </c>
      <c r="H25" s="61" t="inlineStr">
        <is>
          <t>Y</t>
        </is>
      </c>
      <c r="I25" s="27" t="inlineStr">
        <is>
          <t>PORT04</t>
        </is>
      </c>
      <c r="J25" s="64" t="inlineStr">
        <is>
          <t>FULL</t>
        </is>
      </c>
    </row>
    <row r="26">
      <c r="A26" s="11" t="inlineStr">
        <is>
          <t>PLANT10</t>
        </is>
      </c>
      <c r="B26" s="61" t="inlineStr">
        <is>
          <t>Y</t>
        </is>
      </c>
      <c r="C26" s="61" t="inlineStr">
        <is>
          <t>Y</t>
        </is>
      </c>
      <c r="D26" s="61" t="inlineStr">
        <is>
          <t>Y</t>
        </is>
      </c>
      <c r="E26" s="62" t="inlineStr">
        <is>
          <t>-</t>
        </is>
      </c>
      <c r="F26" s="62" t="inlineStr">
        <is>
          <t>-</t>
        </is>
      </c>
      <c r="G26" s="62" t="inlineStr">
        <is>
          <t>-</t>
        </is>
      </c>
      <c r="H26" s="61" t="inlineStr">
        <is>
          <t>Y</t>
        </is>
      </c>
      <c r="I26" s="27" t="inlineStr">
        <is>
          <t>PORT01, PORT02</t>
        </is>
      </c>
      <c r="J26" s="63" t="inlineStr">
        <is>
          <t>STRUCTURAL ONLY (no order/survey/complaint data)</t>
        </is>
      </c>
    </row>
    <row r="27">
      <c r="A27" s="11" t="inlineStr">
        <is>
          <t>PLANT11</t>
        </is>
      </c>
      <c r="B27" s="61" t="inlineStr">
        <is>
          <t>Y</t>
        </is>
      </c>
      <c r="C27" s="61" t="inlineStr">
        <is>
          <t>Y</t>
        </is>
      </c>
      <c r="D27" s="61" t="inlineStr">
        <is>
          <t>Y</t>
        </is>
      </c>
      <c r="E27" s="62" t="inlineStr">
        <is>
          <t>-</t>
        </is>
      </c>
      <c r="F27" s="62" t="inlineStr">
        <is>
          <t>-</t>
        </is>
      </c>
      <c r="G27" s="62" t="inlineStr">
        <is>
          <t>-</t>
        </is>
      </c>
      <c r="H27" s="61" t="inlineStr">
        <is>
          <t>Y</t>
        </is>
      </c>
      <c r="I27" s="27" t="inlineStr">
        <is>
          <t>PORT04</t>
        </is>
      </c>
      <c r="J27" s="63" t="inlineStr">
        <is>
          <t>STRUCTURAL ONLY (no order/survey/complaint data)</t>
        </is>
      </c>
    </row>
    <row r="28">
      <c r="A28" s="11" t="inlineStr">
        <is>
          <t>PLANT12</t>
        </is>
      </c>
      <c r="B28" s="61" t="inlineStr">
        <is>
          <t>Y</t>
        </is>
      </c>
      <c r="C28" s="61" t="inlineStr">
        <is>
          <t>Y</t>
        </is>
      </c>
      <c r="D28" s="61" t="inlineStr">
        <is>
          <t>Y</t>
        </is>
      </c>
      <c r="E28" s="61" t="inlineStr">
        <is>
          <t>Y</t>
        </is>
      </c>
      <c r="F28" s="61" t="inlineStr">
        <is>
          <t>Y</t>
        </is>
      </c>
      <c r="G28" s="61" t="inlineStr">
        <is>
          <t>Y</t>
        </is>
      </c>
      <c r="H28" s="61" t="inlineStr">
        <is>
          <t>Y</t>
        </is>
      </c>
      <c r="I28" s="27" t="inlineStr">
        <is>
          <t>PORT04</t>
        </is>
      </c>
      <c r="J28" s="64" t="inlineStr">
        <is>
          <t>FULL</t>
        </is>
      </c>
    </row>
    <row r="29">
      <c r="A29" s="11" t="inlineStr">
        <is>
          <t>PLANT13</t>
        </is>
      </c>
      <c r="B29" s="61" t="inlineStr">
        <is>
          <t>Y</t>
        </is>
      </c>
      <c r="C29" s="61" t="inlineStr">
        <is>
          <t>Y</t>
        </is>
      </c>
      <c r="D29" s="61" t="inlineStr">
        <is>
          <t>Y</t>
        </is>
      </c>
      <c r="E29" s="61" t="inlineStr">
        <is>
          <t>Y</t>
        </is>
      </c>
      <c r="F29" s="61" t="inlineStr">
        <is>
          <t>Y</t>
        </is>
      </c>
      <c r="G29" s="61" t="inlineStr">
        <is>
          <t>Y</t>
        </is>
      </c>
      <c r="H29" s="61" t="inlineStr">
        <is>
          <t>Y</t>
        </is>
      </c>
      <c r="I29" s="27" t="inlineStr">
        <is>
          <t>PORT04</t>
        </is>
      </c>
      <c r="J29" s="64" t="inlineStr">
        <is>
          <t>FULL</t>
        </is>
      </c>
    </row>
    <row r="30">
      <c r="A30" s="11" t="inlineStr">
        <is>
          <t>PLANT14</t>
        </is>
      </c>
      <c r="B30" s="61" t="inlineStr">
        <is>
          <t>Y</t>
        </is>
      </c>
      <c r="C30" s="61" t="inlineStr">
        <is>
          <t>Y</t>
        </is>
      </c>
      <c r="D30" s="61" t="inlineStr">
        <is>
          <t>Y</t>
        </is>
      </c>
      <c r="E30" s="62" t="inlineStr">
        <is>
          <t>-</t>
        </is>
      </c>
      <c r="F30" s="62" t="inlineStr">
        <is>
          <t>-</t>
        </is>
      </c>
      <c r="G30" s="62" t="inlineStr">
        <is>
          <t>-</t>
        </is>
      </c>
      <c r="H30" s="61" t="inlineStr">
        <is>
          <t>Y</t>
        </is>
      </c>
      <c r="I30" s="27" t="inlineStr">
        <is>
          <t>PORT07</t>
        </is>
      </c>
      <c r="J30" s="63" t="inlineStr">
        <is>
          <t>STRUCTURAL ONLY (no order/survey/complaint data)</t>
        </is>
      </c>
    </row>
    <row r="31">
      <c r="A31" s="11" t="inlineStr">
        <is>
          <t>PLANT15</t>
        </is>
      </c>
      <c r="B31" s="61" t="inlineStr">
        <is>
          <t>Y</t>
        </is>
      </c>
      <c r="C31" s="61" t="inlineStr">
        <is>
          <t>Y</t>
        </is>
      </c>
      <c r="D31" s="61" t="inlineStr">
        <is>
          <t>Y</t>
        </is>
      </c>
      <c r="E31" s="62" t="inlineStr">
        <is>
          <t>-</t>
        </is>
      </c>
      <c r="F31" s="62" t="inlineStr">
        <is>
          <t>-</t>
        </is>
      </c>
      <c r="G31" s="62" t="inlineStr">
        <is>
          <t>-</t>
        </is>
      </c>
      <c r="H31" s="61" t="inlineStr">
        <is>
          <t>Y</t>
        </is>
      </c>
      <c r="I31" s="27" t="inlineStr">
        <is>
          <t>PORT08</t>
        </is>
      </c>
      <c r="J31" s="63" t="inlineStr">
        <is>
          <t>STRUCTURAL ONLY (no order/survey/complaint data)</t>
        </is>
      </c>
    </row>
    <row r="32">
      <c r="A32" s="11" t="inlineStr">
        <is>
          <t>PLANT16</t>
        </is>
      </c>
      <c r="B32" s="61" t="inlineStr">
        <is>
          <t>Y</t>
        </is>
      </c>
      <c r="C32" s="61" t="inlineStr">
        <is>
          <t>Y</t>
        </is>
      </c>
      <c r="D32" s="61" t="inlineStr">
        <is>
          <t>Y</t>
        </is>
      </c>
      <c r="E32" s="61" t="inlineStr">
        <is>
          <t>Y</t>
        </is>
      </c>
      <c r="F32" s="61" t="inlineStr">
        <is>
          <t>Y</t>
        </is>
      </c>
      <c r="G32" s="61" t="inlineStr">
        <is>
          <t>Y</t>
        </is>
      </c>
      <c r="H32" s="61" t="inlineStr">
        <is>
          <t>Y</t>
        </is>
      </c>
      <c r="I32" s="27" t="inlineStr">
        <is>
          <t>PORT09</t>
        </is>
      </c>
      <c r="J32" s="64" t="inlineStr">
        <is>
          <t>FULL</t>
        </is>
      </c>
    </row>
    <row r="33">
      <c r="A33" s="11" t="inlineStr">
        <is>
          <t>PLANT17</t>
        </is>
      </c>
      <c r="B33" s="61" t="inlineStr">
        <is>
          <t>Y</t>
        </is>
      </c>
      <c r="C33" s="61" t="inlineStr">
        <is>
          <t>Y</t>
        </is>
      </c>
      <c r="D33" s="61" t="inlineStr">
        <is>
          <t>Y</t>
        </is>
      </c>
      <c r="E33" s="62" t="inlineStr">
        <is>
          <t>-</t>
        </is>
      </c>
      <c r="F33" s="62" t="inlineStr">
        <is>
          <t>-</t>
        </is>
      </c>
      <c r="G33" s="62" t="inlineStr">
        <is>
          <t>-</t>
        </is>
      </c>
      <c r="H33" s="61" t="inlineStr">
        <is>
          <t>Y</t>
        </is>
      </c>
      <c r="I33" s="27" t="inlineStr">
        <is>
          <t>PORT10</t>
        </is>
      </c>
      <c r="J33" s="63" t="inlineStr">
        <is>
          <t>STRUCTURAL ONLY (no order/survey/complaint data)</t>
        </is>
      </c>
    </row>
    <row r="34">
      <c r="A34" s="11" t="inlineStr">
        <is>
          <t>PLANT18</t>
        </is>
      </c>
      <c r="B34" s="61" t="inlineStr">
        <is>
          <t>Y</t>
        </is>
      </c>
      <c r="C34" s="61" t="inlineStr">
        <is>
          <t>Y</t>
        </is>
      </c>
      <c r="D34" s="61" t="inlineStr">
        <is>
          <t>Y</t>
        </is>
      </c>
      <c r="E34" s="62" t="inlineStr">
        <is>
          <t>-</t>
        </is>
      </c>
      <c r="F34" s="62" t="inlineStr">
        <is>
          <t>-</t>
        </is>
      </c>
      <c r="G34" s="62" t="inlineStr">
        <is>
          <t>-</t>
        </is>
      </c>
      <c r="H34" s="61" t="inlineStr">
        <is>
          <t>Y</t>
        </is>
      </c>
      <c r="I34" s="27" t="inlineStr">
        <is>
          <t>PORT11</t>
        </is>
      </c>
      <c r="J34" s="63" t="inlineStr">
        <is>
          <t>STRUCTURAL ONLY (no order/survey/complaint data)</t>
        </is>
      </c>
    </row>
    <row r="35">
      <c r="A35" s="11" t="inlineStr">
        <is>
          <t>PLANT19</t>
        </is>
      </c>
      <c r="B35" s="61" t="inlineStr">
        <is>
          <t>Y</t>
        </is>
      </c>
      <c r="C35" s="61" t="inlineStr">
        <is>
          <t>Y</t>
        </is>
      </c>
      <c r="D35" s="61" t="inlineStr">
        <is>
          <t>Y</t>
        </is>
      </c>
      <c r="E35" s="62" t="inlineStr">
        <is>
          <t>-</t>
        </is>
      </c>
      <c r="F35" s="62" t="inlineStr">
        <is>
          <t>-</t>
        </is>
      </c>
      <c r="G35" s="62" t="inlineStr">
        <is>
          <t>-</t>
        </is>
      </c>
      <c r="H35" s="61" t="inlineStr">
        <is>
          <t>Y</t>
        </is>
      </c>
      <c r="I35" s="27" t="inlineStr">
        <is>
          <t>PORT04</t>
        </is>
      </c>
      <c r="J35" s="63" t="inlineStr">
        <is>
          <t>STRUCTURAL ONLY (no order/survey/complaint data)</t>
        </is>
      </c>
    </row>
    <row r="36">
      <c r="A36" s="11" t="inlineStr">
        <is>
          <t>TOTAL</t>
        </is>
      </c>
      <c r="B36" s="23" t="inlineStr">
        <is>
          <t>19/19</t>
        </is>
      </c>
      <c r="C36" s="23" t="inlineStr">
        <is>
          <t>19/19</t>
        </is>
      </c>
      <c r="D36" s="23" t="inlineStr">
        <is>
          <t>19/19</t>
        </is>
      </c>
      <c r="E36" s="23" t="inlineStr">
        <is>
          <t>7/19</t>
        </is>
      </c>
      <c r="F36" s="23" t="inlineStr">
        <is>
          <t>7/19</t>
        </is>
      </c>
      <c r="G36" s="23" t="inlineStr">
        <is>
          <t>7/19</t>
        </is>
      </c>
      <c r="H36" s="23" t="inlineStr">
        <is>
          <t>19/19</t>
        </is>
      </c>
      <c r="I36" s="24" t="inlineStr"/>
      <c r="J36" s="65" t="inlineStr">
        <is>
          <t>6/19 plants fully covered</t>
        </is>
      </c>
    </row>
    <row r="37">
      <c r="A37" s="66" t="inlineStr">
        <is>
          <t>* FreightRates is keyed by origin PORT, not plant; coverage = at least one rated lane from a port serving the plant. PORT01 (PLANT01/07/10) has no rate card - served via PORT02.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7" t="n"/>
    </row>
    <row r="39">
      <c r="A39" s="3" t="inlineStr">
        <is>
          <t>C.  DATA INTEGRITY FINDINGS</t>
        </is>
      </c>
      <c r="B39" s="4" t="n"/>
      <c r="C39" s="4" t="n"/>
      <c r="D39" s="4" t="n"/>
      <c r="E39" s="4" t="n"/>
    </row>
    <row r="40">
      <c r="A40" s="5" t="inlineStr">
        <is>
          <t>ID</t>
        </is>
      </c>
      <c r="B40" s="5" t="inlineStr">
        <is>
          <t>Domain</t>
        </is>
      </c>
      <c r="C40" s="5" t="inlineStr">
        <is>
          <t>Finding</t>
        </is>
      </c>
      <c r="D40" s="5" t="inlineStr">
        <is>
          <t>Materiality</t>
        </is>
      </c>
    </row>
    <row r="41" ht="30" customHeight="1">
      <c r="A41" s="23" t="inlineStr">
        <is>
          <t>F-01</t>
        </is>
      </c>
      <c r="B41" s="27" t="inlineStr">
        <is>
          <t>Coverage</t>
        </is>
      </c>
      <c r="C41" s="43" t="inlineStr">
        <is>
          <t>12 of 19 plants (PLANT01, 02, 05, 06, 07, 10, 11, 14, 15, 17, 18, 19) have no order, survey or complaint records; structural files only. Composite pillars 4-5 use neutral priors (50/100) for these plants and are flagged.</t>
        </is>
      </c>
      <c r="D41" s="67" t="inlineStr">
        <is>
          <t>High</t>
        </is>
      </c>
    </row>
    <row r="42" ht="30" customHeight="1">
      <c r="A42" s="23" t="inlineStr">
        <is>
          <t>F-02</t>
        </is>
      </c>
      <c r="B42" s="27" t="inlineStr">
        <is>
          <t>Period</t>
        </is>
      </c>
      <c r="C42" s="43" t="inlineStr">
        <is>
          <t>OrderList extract covers a single order date (5/26/13) while survey and complaint data cover Q4-2023 (Oct 1 - Dec 31). The memo's own caveat ('different operating periods') is confirmed; cross-period correlation is not valid.</t>
        </is>
      </c>
      <c r="D42" s="67" t="inlineStr">
        <is>
          <t>High</t>
        </is>
      </c>
    </row>
    <row r="43" ht="30" customHeight="1">
      <c r="A43" s="23" t="inlineStr">
        <is>
          <t>F-03</t>
        </is>
      </c>
      <c r="B43" s="27" t="inlineStr">
        <is>
          <t>Unit basis</t>
        </is>
      </c>
      <c r="C43" s="43" t="inlineStr">
        <is>
          <t>Order Unit_Quant (e.g., PLANT03: 28.6M units in extract vs stated capacity 1,013/day; PLANT08: 277,008 units vs 14/day) is on a different basis than Daily_Capacity (~3-4 orders of magnitude). Utilization cannot be computed by direct division; master-data alignment required.</t>
        </is>
      </c>
      <c r="D43" s="67" t="inlineStr">
        <is>
          <t>High</t>
        </is>
      </c>
    </row>
    <row r="44" ht="30" customHeight="1">
      <c r="A44" s="23" t="inlineStr">
        <is>
          <t>F-04</t>
        </is>
      </c>
      <c r="B44" s="27" t="inlineStr">
        <is>
          <t>Carriers</t>
        </is>
      </c>
      <c r="C44" s="43" t="inlineStr">
        <is>
          <t>Carrier V44_3 appears on 854 orders (all CRF) but is absent from FreightRates; 7 rated carriers (V444_2/4/5/6/7/8/9) are unused in the order extract. CRF service level has no rate coverage in any lane.</t>
        </is>
      </c>
      <c r="D44" s="68" t="inlineStr">
        <is>
          <t>Medium</t>
        </is>
      </c>
    </row>
    <row r="45" ht="30" customHeight="1">
      <c r="A45" s="23" t="inlineStr">
        <is>
          <t>F-05</t>
        </is>
      </c>
      <c r="B45" s="27" t="inlineStr">
        <is>
          <t>Modes</t>
        </is>
      </c>
      <c r="C45" s="43" t="inlineStr">
        <is>
          <t>No SEA rates exist and no per-shipment mode field exists; the memo's mode-mix cost claims cannot be reconciled at shipment level.</t>
        </is>
      </c>
      <c r="D45" s="68" t="inlineStr">
        <is>
          <t>Medium</t>
        </is>
      </c>
    </row>
    <row r="46" ht="30" customHeight="1">
      <c r="A46" s="23" t="inlineStr">
        <is>
          <t>F-06</t>
        </is>
      </c>
      <c r="B46" s="27" t="inlineStr">
        <is>
          <t>Ports</t>
        </is>
      </c>
      <c r="C46" s="43" t="inlineStr">
        <is>
          <t>PLANT01/07/10 list PORT01 and PORT02 in PlantPorts, but no rate card exists for PORT01-origin lanes; only PORT02 is rated. PORT09-origin lanes exist (PLANT16, intra-port to PORT09).</t>
        </is>
      </c>
      <c r="D46" s="69" t="inlineStr">
        <is>
          <t>Low</t>
        </is>
      </c>
    </row>
    <row r="47" ht="30" customHeight="1">
      <c r="A47" s="23" t="inlineStr">
        <is>
          <t>F-07</t>
        </is>
      </c>
      <c r="B47" s="27" t="inlineStr">
        <is>
          <t>Cost model</t>
        </is>
      </c>
      <c r="C47" s="43" t="inlineStr">
        <is>
          <t>WhCosts lacks the fixed-cost component promised in memo Sec.4; consolidation economics below are therefore variable-cost-exact and fixed-cost-assumed (flagged ranges).</t>
        </is>
      </c>
      <c r="D47" s="67" t="inlineStr">
        <is>
          <t>High</t>
        </is>
      </c>
    </row>
    <row r="48" ht="30" customHeight="1">
      <c r="A48" s="23" t="inlineStr">
        <is>
          <t>F-08</t>
        </is>
      </c>
      <c r="B48" s="27" t="inlineStr">
        <is>
          <t>Customer IDs</t>
        </is>
      </c>
      <c r="C48" s="43" t="inlineStr">
        <is>
          <t>OrderList customer codes (V..._) and survey/complaint customer IDs (CUST-xxx) share no overlap; customer-level linkage between shipment and satisfaction data is impossible without a crosswalk.</t>
        </is>
      </c>
      <c r="D48" s="68" t="inlineStr">
        <is>
          <t>Medium</t>
        </is>
      </c>
    </row>
    <row r="49" ht="30" customHeight="1">
      <c r="A49" s="23" t="inlineStr">
        <is>
          <t>F-09</t>
        </is>
      </c>
      <c r="B49" s="27" t="inlineStr">
        <is>
          <t>Late concentration</t>
        </is>
      </c>
      <c r="C49" s="43" t="inlineStr">
        <is>
          <t>100% of late shipments originate at PLANT03 (174) and PLANT08 (18); 95% ride carrier V444_0 on DTP service. Late exposure is plant- and lane-specific, not network-wide.</t>
        </is>
      </c>
      <c r="D49" s="69" t="inlineStr">
        <is>
          <t>Info</t>
        </is>
      </c>
    </row>
    <row r="50" ht="30" customHeight="1">
      <c r="A50" s="23" t="inlineStr">
        <is>
          <t>F-10</t>
        </is>
      </c>
      <c r="B50" s="27" t="inlineStr">
        <is>
          <t>Topology</t>
        </is>
      </c>
      <c r="C50" s="43" t="inlineStr">
        <is>
          <t>7 plants sit on single-tenant ports (02, 04, 14, 15, 16, 17, 18) with zero same-port absorption capacity; consolidation of these requires cross-port freight re-routing.</t>
        </is>
      </c>
      <c r="D50" s="69" t="inlineStr">
        <is>
          <t>Info</t>
        </is>
      </c>
    </row>
    <row r="52">
      <c r="A52" s="66" t="inlineStr">
        <is>
          <t>Sources: OrderList.csv (9,215 orders, extract date 26-May-13); WhCapacities.csv; WhCosts.csv; FreightRates.csv (1,539 rate rows, AIR/GROUND, 9 carriers, 10 origin ports -&gt; PORT09); PlantPorts.csv; Customer_Satisfaction_Survey_Q4.xlsx (50 responses, 18 complaints, Q4-2023). External dataset: Supply Chain Logistics Problem Dataset, Brunel University London, Figshare (per memo Sec.4).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</row>
  </sheetData>
  <mergeCells count="2">
    <mergeCell ref="A52:J52"/>
    <mergeCell ref="A37:J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2026-10-19T15:18:49Z</dcterms:created>
  <dcterms:modified xmlns:dcterms="http://purl.org/dc/terms/" xmlns:xsi="http://www.w3.org/2001/XMLSchema-instance" xsi:type="dcterms:W3CDTF">2026-10-19T15:18:49Z</dcterms:modified>
</cp:coreProperties>
</file>