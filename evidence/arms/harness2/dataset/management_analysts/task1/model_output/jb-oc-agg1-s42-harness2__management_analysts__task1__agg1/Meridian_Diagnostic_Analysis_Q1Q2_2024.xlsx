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 Scorecard" sheetId="1" r:id="rId1"/>
    <sheet name="Trend Diagnostics" sheetId="2" r:id="rId2"/>
    <sheet name="Industry Benchmark" sheetId="3" r:id="rId3"/>
    <sheet name="Complaint-Production Crossref" sheetId="4" r:id="rId4"/>
    <sheet name="Equipment Risk Matrix" sheetId="5" r:id="rId5"/>
  </sheets>
  <calcPr calcId="124519" fullCalcOnLoad="1"/>
</workbook>
</file>

<file path=xl/sharedStrings.xml><?xml version="1.0" encoding="utf-8"?>
<sst xmlns="http://schemas.openxmlformats.org/spreadsheetml/2006/main" count="616" uniqueCount="246">
  <si>
    <t>PLANT SCORECARD — Q1/Q2 2024 (Jan–Jun)</t>
  </si>
  <si>
    <t>Meridian Advanced Manufacturing Inc. | Composite operational health ranking. See methodology notes below the table.</t>
  </si>
  <si>
    <t>Rank</t>
  </si>
  <si>
    <t>Plant</t>
  </si>
  <si>
    <t>OEE</t>
  </si>
  <si>
    <t>Availability</t>
  </si>
  <si>
    <t>Performance</t>
  </si>
  <si>
    <t>Quality Yield</t>
  </si>
  <si>
    <t>Defect Rate (per 1,000 units)</t>
  </si>
  <si>
    <t>Avg On-Time Delivery %</t>
  </si>
  <si>
    <t>Unplanned Downtime (% of total hours)</t>
  </si>
  <si>
    <t>Cost per Unit ($)</t>
  </si>
  <si>
    <t>Capacity Utilization % (Actual ÷ Planned hrs)</t>
  </si>
  <si>
    <t>Composite Score (0–100)</t>
  </si>
  <si>
    <t>Nashville TN</t>
  </si>
  <si>
    <t>Portland OR</t>
  </si>
  <si>
    <t>Columbus OH</t>
  </si>
  <si>
    <t>Phoenix AZ</t>
  </si>
  <si>
    <t>Key supporting aggregates</t>
  </si>
  <si>
    <t>Production Volume (units)</t>
  </si>
  <si>
    <t>Total Production Cost ($)</t>
  </si>
  <si>
    <t>Material $/unit</t>
  </si>
  <si>
    <t>Labor $/unit</t>
  </si>
  <si>
    <t>Avg Hourly Labor Cost ($/hr)</t>
  </si>
  <si>
    <t>Unplanned Downtime (hrs)</t>
  </si>
  <si>
    <t>Energy Cost ($, kWh × $0.085)</t>
  </si>
  <si>
    <t>METHODOLOGY &amp; DEFINITIONS</t>
  </si>
  <si>
    <t>OEE = Availability × Performance × Quality Yield. Availability = (Planned Output Hrs − Unplanned Downtime Hrs) ÷ Planned Output Hrs; Performance = Actual Output Hrs ÷ (Planned Output Hrs − Unplanned Downtime Hrs); Quality Yield = 1 − Defects ÷ Production Volume.</t>
  </si>
  <si>
    <t>Defect Rate per 1,000 units = total Defect_Count ÷ total Production Volume × 1,000 (Jan–Jun aggregate).</t>
  </si>
  <si>
    <t>Avg OTD% is volume-weighted across product lines and months. Unplanned downtime share = Unplanned Downtime Hrs ÷ (Actual Output Hrs + Unplanned + Planned Downtime Hrs).</t>
  </si>
  <si>
    <t>Cost per unit = (Raw Material + Labor + Energy + Maintenance) ÷ units. Energy_Cost_kWh interpreted as consumption and converted at $0.085/kWh (EIA 2024 U.S. industrial average).</t>
  </si>
  <si>
    <t>Composite score = equal-weighted min–max normalisation (0–100, direction-adjusted) of OEE, defect rate, OTD%, downtime share and cost per unit across the four plants.</t>
  </si>
  <si>
    <t>TREND DIAGNOSTICS — Monthly deterioration flags and 6-month trend slopes</t>
  </si>
  <si>
    <t>Watch item rule: a plant–product line is flagged when ≥2 of {defect rate, OTD%, target attainment} deteriorate month-over-month (see rule below).</t>
  </si>
  <si>
    <t>Product Line</t>
  </si>
  <si>
    <t>Defect /1,000 — Jan</t>
  </si>
  <si>
    <t>Defect /1,000 — Feb</t>
  </si>
  <si>
    <t>Defect /1,000 — Mar</t>
  </si>
  <si>
    <t>Defect /1,000 — Apr</t>
  </si>
  <si>
    <t>Defect /1,000 — May</t>
  </si>
  <si>
    <t>Defect /1,000 — Jun</t>
  </si>
  <si>
    <t>OTD % — Jan</t>
  </si>
  <si>
    <t>OTD % — Feb</t>
  </si>
  <si>
    <t>OTD % — Mar</t>
  </si>
  <si>
    <t>OTD % — Apr</t>
  </si>
  <si>
    <t>OTD % — May</t>
  </si>
  <si>
    <t>OTD % — Jun</t>
  </si>
  <si>
    <t>Target Attain % — Jan</t>
  </si>
  <si>
    <t>Target Attain % — Feb</t>
  </si>
  <si>
    <t>Target Attain % — Mar</t>
  </si>
  <si>
    <t>Target Attain % — Apr</t>
  </si>
  <si>
    <t>Target Attain % — May</t>
  </si>
  <si>
    <t>Target Attain % — Jun</t>
  </si>
  <si>
    <t>Defect deteriorating?</t>
  </si>
  <si>
    <t>OTD deteriorating?</t>
  </si>
  <si>
    <t>Attainment deteriorating?</t>
  </si>
  <si>
    <t>Flags</t>
  </si>
  <si>
    <t>WATCH ITEM</t>
  </si>
  <si>
    <t>Assembly Modules</t>
  </si>
  <si>
    <t>YES</t>
  </si>
  <si>
    <t>no</t>
  </si>
  <si>
    <t>—</t>
  </si>
  <si>
    <t>Custom Fabrication</t>
  </si>
  <si>
    <t>Precision Components</t>
  </si>
  <si>
    <t>Watch-item rule: a metric is "deteriorating" when (a) the Apr–Jun mean is worse than the Jan–Mar mean by &gt;0.5% relative AND (b) at least 3 of the 5 month-over-month transitions move in the deteriorating direction. Watch item = ≥2 deteriorating metrics.</t>
  </si>
  <si>
    <t>Plant-level 6-month trend slopes (OLS on monthly plant aggregates, Jan=1 … Jun=6)</t>
  </si>
  <si>
    <t>Metric</t>
  </si>
  <si>
    <t>Slope per month</t>
  </si>
  <si>
    <t>R²</t>
  </si>
  <si>
    <t>Interpretation</t>
  </si>
  <si>
    <t>Defect rate per 1,000 units</t>
  </si>
  <si>
    <t>Defect rate rising by 0.95 defects/1,000 per month</t>
  </si>
  <si>
    <t>On-time delivery %</t>
  </si>
  <si>
    <t>OTD broadly flat at 0.05 pp per month</t>
  </si>
  <si>
    <t>Defect rate falling by 0.66 defects/1,000 per month</t>
  </si>
  <si>
    <t>OTD declining at 0.36 pp per month</t>
  </si>
  <si>
    <t>Defect rate falling by 1.22 defects/1,000 per month</t>
  </si>
  <si>
    <t>OTD improving at 0.54 pp per month</t>
  </si>
  <si>
    <t>Defect rate rising by 3.10 defects/1,000 per month</t>
  </si>
  <si>
    <t>OTD declining at 1.44 pp per month</t>
  </si>
  <si>
    <t>Underlying monthly plant aggregates (volume-weighted)</t>
  </si>
  <si>
    <t>Month</t>
  </si>
  <si>
    <t>Volume (units)</t>
  </si>
  <si>
    <t>Defect rate per 1,000</t>
  </si>
  <si>
    <t>OTD %</t>
  </si>
  <si>
    <t>Target attainment %</t>
  </si>
  <si>
    <t>Unplanned downtime (hrs)</t>
  </si>
  <si>
    <t>Jan-2024</t>
  </si>
  <si>
    <t>Feb-2024</t>
  </si>
  <si>
    <t>Mar-2024</t>
  </si>
  <si>
    <t>Apr-2024</t>
  </si>
  <si>
    <t>May-2024</t>
  </si>
  <si>
    <t>Jun-2024</t>
  </si>
  <si>
    <t>INDUSTRY BENCHMARK — Capacity utilization vs FRED MCUMFN; defect &amp; downtime percentile positions</t>
  </si>
  <si>
    <t>National benchmark: Federal Reserve G.17 MCUMFN (U.S. manufacturing capacity utilization), Jan–Jun 2024 snapshot. Industry distributions: manufacturing_defect_dataset.csv (n = 3,240 records).</t>
  </si>
  <si>
    <t>A. Federal Reserve MCUMFN — Jan to Jun 2024</t>
  </si>
  <si>
    <t>MCUMFN (%)</t>
  </si>
  <si>
    <t>Jan–Jun 2024 average</t>
  </si>
  <si>
    <t>B. Meridian plant capacity utilization vs national average</t>
  </si>
  <si>
    <t>Definition: Actual Output Hours ÷ Planned Output Hours (schedule-based utilization; no nameplate capacity is provided in the source data).</t>
  </si>
  <si>
    <t>Capacity Utilization %</t>
  </si>
  <si>
    <t>FRED National Avg %</t>
  </si>
  <si>
    <t>Gap (pp)</t>
  </si>
  <si>
    <t>Position vs national average</t>
  </si>
  <si>
    <t>Above national average by 18.6 pp</t>
  </si>
  <si>
    <t>Above national average by 23.8 pp</t>
  </si>
  <si>
    <t>Above national average by 15.4 pp</t>
  </si>
  <si>
    <t>Above national average by 18.8 pp</t>
  </si>
  <si>
    <t>C. Defect rate positioning within industry dataset (DefectRate column, interpreted as defect % of units)</t>
  </si>
  <si>
    <t>Meridian defect rates converted to % (per-1,000 ÷ 10) for comparability with the dataset scale.</t>
  </si>
  <si>
    <t>Distribution reference</t>
  </si>
  <si>
    <t>Value (%)</t>
  </si>
  <si>
    <t>Industry 25th percentile</t>
  </si>
  <si>
    <t>Industry 50th percentile (median)</t>
  </si>
  <si>
    <t>Industry 75th percentile</t>
  </si>
  <si>
    <t>Defect rate % (H1)</t>
  </si>
  <si>
    <t>Percentile rank in industry dataset</t>
  </si>
  <si>
    <t>Quartile position</t>
  </si>
  <si>
    <t>Top quartile (worse than 75% of industry)</t>
  </si>
  <si>
    <t>2nd quartile</t>
  </si>
  <si>
    <t>D. Unplanned downtime positioning within industry dataset (DowntimePercentage column, % of hours)</t>
  </si>
  <si>
    <t>Unplanned downtime % of total hours</t>
  </si>
  <si>
    <t>3rd quartile</t>
  </si>
  <si>
    <t>Notes: MCUMFN = Federal Reserve G.17 series "Capacity Utilization: Manufacturing". Snapshot values Jan–Jun 2024: 75.18, 76.08, 76.14, 75.68, 76.06, 75.86 (avg 75.83%).</t>
  </si>
  <si>
    <t>Percentile rank = share of the 3,240 industry records at or below the Meridian plant value. Higher percentile = worse relative performance for both metrics.</t>
  </si>
  <si>
    <t>COMPLAINT–PRODUCTION CROSSREF — complaint rates per 1,000 units and downtime–severity correlation</t>
  </si>
  <si>
    <t>Complaints joined to production data by plant × month (61 complaint records, Jan–Jun 2024).</t>
  </si>
  <si>
    <t>Complaints</t>
  </si>
  <si>
    <t>Complaints per 1,000 units</t>
  </si>
  <si>
    <t>Severity-weighted complaints per 1,000 units</t>
  </si>
  <si>
    <t>Mean severity (1=Low … 4=Critical)</t>
  </si>
  <si>
    <t>Downtime % of total hours</t>
  </si>
  <si>
    <t>Plant summary (Jan–Jun 2024)</t>
  </si>
  <si>
    <t>Low</t>
  </si>
  <si>
    <t>Medium</t>
  </si>
  <si>
    <t>High</t>
  </si>
  <si>
    <t>Critical</t>
  </si>
  <si>
    <t>Total complaints</t>
  </si>
  <si>
    <t>Complaint rate per 1,000 units</t>
  </si>
  <si>
    <t>Severity-weighted $ exposure</t>
  </si>
  <si>
    <t>Avg days to resolve</t>
  </si>
  <si>
    <t>Open / in-progress items</t>
  </si>
  <si>
    <t>All plants</t>
  </si>
  <si>
    <t>Does downtime correlate with complaint volume / severity? (n = 24 plant-month observations; critical |r| = 0.404 at α = 0.05, 0.515 at α = 0.01, df = 22)</t>
  </si>
  <si>
    <t>Downtime measure</t>
  </si>
  <si>
    <t>Complaint measure</t>
  </si>
  <si>
    <t>Pearson r</t>
  </si>
  <si>
    <t>Spearman ρ</t>
  </si>
  <si>
    <t>Assessment</t>
  </si>
  <si>
    <t>Unplanned downtime hours</t>
  </si>
  <si>
    <t>Complaint count</t>
  </si>
  <si>
    <t>Not significant at n=24</t>
  </si>
  <si>
    <t>Mean severity score (1-4)</t>
  </si>
  <si>
    <t>Significant (p&lt;0.05)</t>
  </si>
  <si>
    <t>Unplanned downtime share of total hours</t>
  </si>
  <si>
    <t>Reading: downtime hours move with severity-weighted complaint intensity (r ≈ 0.46–0.57, significant at n = 24): months with more unplanned downtime tend to produce more severe complaint loads, consistent with schedule pressure and rushed output degrading quality.</t>
  </si>
  <si>
    <t>Raw complaint counts correlate more weakly (r ≈ 0.21–0.31, not significant) — severity, not volume, is the dimension linked to downtime.</t>
  </si>
  <si>
    <t>Severity weighting uses the COPQ cost scale (Low $250, Medium $1,000, High $2,500, Critical $5,000); mean severity score uses Low=1 … Critical=4.</t>
  </si>
  <si>
    <t>EQUIPMENT RISK MATRIX — age, condition, overhaul history vs plant downtime &amp; defects</t>
  </si>
  <si>
    <t>Replacement priority rule: age &gt; 8 years AND condition rating ≤ 5. Risk index = 30% age + 30% condition deficit + 20% item downtime + 20% years since overhaul (all normalised).</t>
  </si>
  <si>
    <t>Equipment ID</t>
  </si>
  <si>
    <t>Equipment Type</t>
  </si>
  <si>
    <t>Year Installed</t>
  </si>
  <si>
    <t>Age (yrs)</t>
  </si>
  <si>
    <t>Last Major Overhaul</t>
  </si>
  <si>
    <t>Yrs Since Overhaul</t>
  </si>
  <si>
    <t>Condition (1–10)</t>
  </si>
  <si>
    <t>Avg Monthly Downtime (hrs)</t>
  </si>
  <si>
    <t>Replacement Cost ($)</t>
  </si>
  <si>
    <t>Risk Index</t>
  </si>
  <si>
    <t>Risk Category</t>
  </si>
  <si>
    <t>Replacement Priority</t>
  </si>
  <si>
    <t>Estimated Capital Need ($)</t>
  </si>
  <si>
    <t>EQ-0001</t>
  </si>
  <si>
    <t>Surface Grinding Machine</t>
  </si>
  <si>
    <t>Mar-2011</t>
  </si>
  <si>
    <t>REPLACE</t>
  </si>
  <si>
    <t>EQ-0002</t>
  </si>
  <si>
    <t>CMM Inspection Station</t>
  </si>
  <si>
    <t>Nov-2011</t>
  </si>
  <si>
    <t>EQ-0004</t>
  </si>
  <si>
    <t>Automated Assembly Line</t>
  </si>
  <si>
    <t>Jan-2014</t>
  </si>
  <si>
    <t>EQ-0006</t>
  </si>
  <si>
    <t>Hydraulic Press</t>
  </si>
  <si>
    <t>Sep-2016</t>
  </si>
  <si>
    <t>EQ-0003</t>
  </si>
  <si>
    <t>Robotic Welding Cell</t>
  </si>
  <si>
    <t>EQ-0005</t>
  </si>
  <si>
    <t>CNC Lathe</t>
  </si>
  <si>
    <t>Jul-2014</t>
  </si>
  <si>
    <t>EQ-0007</t>
  </si>
  <si>
    <t>Heat Treatment Furnace</t>
  </si>
  <si>
    <t>May-2017</t>
  </si>
  <si>
    <t>EQ-0014</t>
  </si>
  <si>
    <t>EDM Machine</t>
  </si>
  <si>
    <t>Jan-2019</t>
  </si>
  <si>
    <t>EQ-0011</t>
  </si>
  <si>
    <t>Sep-2019</t>
  </si>
  <si>
    <t>EQ-0009</t>
  </si>
  <si>
    <t>Injection Molding Press</t>
  </si>
  <si>
    <t>EQ-0013</t>
  </si>
  <si>
    <t>Nov-2023</t>
  </si>
  <si>
    <t>EQ-0012</t>
  </si>
  <si>
    <t>EQ-0008</t>
  </si>
  <si>
    <t>CNC Milling Center</t>
  </si>
  <si>
    <t>Sep-2023</t>
  </si>
  <si>
    <t>EQ-0010</t>
  </si>
  <si>
    <t>EQ-0019</t>
  </si>
  <si>
    <t>May-2022</t>
  </si>
  <si>
    <t>EQ-0017</t>
  </si>
  <si>
    <t>Deburring Station</t>
  </si>
  <si>
    <t>May-2023</t>
  </si>
  <si>
    <t>EQ-0020</t>
  </si>
  <si>
    <t>EQ-0021</t>
  </si>
  <si>
    <t>Laser Cutting System</t>
  </si>
  <si>
    <t>Jul-2023</t>
  </si>
  <si>
    <t>EQ-0016</t>
  </si>
  <si>
    <t>Nov-2024</t>
  </si>
  <si>
    <t>EQ-0015</t>
  </si>
  <si>
    <t>Jan-2023</t>
  </si>
  <si>
    <t>EQ-0018</t>
  </si>
  <si>
    <t>Sep-2024</t>
  </si>
  <si>
    <t>EQ-0025</t>
  </si>
  <si>
    <t>May-2018</t>
  </si>
  <si>
    <t>EQ-0027</t>
  </si>
  <si>
    <t>EQ-0024</t>
  </si>
  <si>
    <t>Jul-2019</t>
  </si>
  <si>
    <t>EQ-0023</t>
  </si>
  <si>
    <t>EQ-0026</t>
  </si>
  <si>
    <t>Nov-2022</t>
  </si>
  <si>
    <t>EQ-0022</t>
  </si>
  <si>
    <t>EQ-0028</t>
  </si>
  <si>
    <t>Nov-2020</t>
  </si>
  <si>
    <t>Plant-level rollup (equipment vs operating performance)</t>
  </si>
  <si>
    <t>Units listed</t>
  </si>
  <si>
    <t>Replacement priorities</t>
  </si>
  <si>
    <t>Estimated capital need ($)</t>
  </si>
  <si>
    <t>Avg condition rating</t>
  </si>
  <si>
    <t>Avg equipment age (yrs)</t>
  </si>
  <si>
    <t>Σ item avg monthly downtime (hrs)</t>
  </si>
  <si>
    <t>Plant unplanned downtime % of total hours</t>
  </si>
  <si>
    <t>Plant defect rate per 1,000</t>
  </si>
  <si>
    <t>Finding: all 5 replacement-priority units are at Columbus OH (EQ-0001, 0002, 0004, 0005, 0006 — installed 2008–2015, condition 3–5, overhauls 8–13 years ago); estimated capital need $2,664,924.</t>
  </si>
  <si>
    <t>Data quality flags: Phoenix EQ-0016 and EQ-0018 show "last major overhaul" dates of Nov-2024 and Sep-2024 — i.e., future-dated entries (scheduled, not completed) within the review window. Phoenix also pairs the newest fleet (avg 1.9 yrs) with the second-lowest average condition rating (5.3), indicating accelerated wear or warranty/vendor-quality issues rather than age-driven degradation.</t>
  </si>
  <si>
    <t>Cross-reference: Columbus combines the highest unplanned downtime share (4.4%) with the oldest fleet; Phoenix shows high item-level downtime (112.6 hrs/month across the fleet) despite new equipment, consistent with commissioning/ramp and workforce-churn effects.</t>
  </si>
</sst>
</file>

<file path=xl/styles.xml><?xml version="1.0" encoding="utf-8"?>
<styleSheet xmlns="http://schemas.openxmlformats.org/spreadsheetml/2006/main">
  <numFmts count="9">
    <numFmt numFmtId="164" formatCode="#,##0"/>
    <numFmt numFmtId="165" formatCode="0.0%"/>
    <numFmt numFmtId="166" formatCode="#,##0.0"/>
    <numFmt numFmtId="167" formatCode="$#,##0.00"/>
    <numFmt numFmtId="168" formatCode="$#,##0"/>
    <numFmt numFmtId="169" formatCode="#,##0.00"/>
    <numFmt numFmtId="170" formatCode="0.00%"/>
    <numFmt numFmtId="171" formatCode="+0.0%;-0.0%"/>
    <numFmt numFmtId="172" formatCode="0.000"/>
  </numFmts>
  <fonts count="9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4" fillId="0" borderId="1" xfId="0" applyFon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5" fillId="0" borderId="0" xfId="0" applyFont="1"/>
    <xf numFmtId="168" fontId="0" fillId="0" borderId="1" xfId="0" applyNumberFormat="1" applyBorder="1"/>
    <xf numFmtId="0" fontId="6" fillId="0" borderId="0" xfId="0" applyFont="1" applyAlignment="1">
      <alignment vertical="top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169" fontId="0" fillId="0" borderId="1" xfId="0" applyNumberFormat="1" applyBorder="1"/>
    <xf numFmtId="0" fontId="0" fillId="0" borderId="1" xfId="0" applyBorder="1" applyAlignment="1">
      <alignment horizontal="center"/>
    </xf>
    <xf numFmtId="170" fontId="4" fillId="4" borderId="1" xfId="0" applyNumberFormat="1" applyFont="1" applyFill="1" applyBorder="1"/>
    <xf numFmtId="171" fontId="0" fillId="0" borderId="1" xfId="0" applyNumberFormat="1" applyBorder="1"/>
    <xf numFmtId="0" fontId="8" fillId="5" borderId="1" xfId="0" applyFont="1" applyFill="1" applyBorder="1" applyAlignment="1">
      <alignment horizontal="center"/>
    </xf>
    <xf numFmtId="17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L22"/>
  <sheetViews>
    <sheetView showGridLines="0" tabSelected="1" workbookViewId="0"/>
  </sheetViews>
  <sheetFormatPr defaultRowHeight="15"/>
  <cols>
    <col min="1" max="1" width="16.7109375" customWidth="1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>
      <c r="A5" s="5">
        <v>1</v>
      </c>
      <c r="B5" s="6" t="s">
        <v>14</v>
      </c>
      <c r="C5" s="7">
        <v>0.9776705165954213</v>
      </c>
      <c r="D5" s="7">
        <v>0.979760442852826</v>
      </c>
      <c r="E5" s="7">
        <v>1.016936918019017</v>
      </c>
      <c r="F5" s="7">
        <v>0.9812475907575792</v>
      </c>
      <c r="G5" s="8">
        <v>18.75240924242081</v>
      </c>
      <c r="H5" s="7">
        <v>0.9556538627242012</v>
      </c>
      <c r="I5" s="7">
        <v>0.01965755392089521</v>
      </c>
      <c r="J5" s="9">
        <v>64.40918674179723</v>
      </c>
      <c r="K5" s="7">
        <v>0.9963545651517002</v>
      </c>
      <c r="L5" s="8">
        <v>100</v>
      </c>
    </row>
    <row r="6" spans="1:12">
      <c r="A6" s="5">
        <v>2</v>
      </c>
      <c r="B6" s="6" t="s">
        <v>15</v>
      </c>
      <c r="C6" s="7">
        <v>0.9065333971896137</v>
      </c>
      <c r="D6" s="7">
        <v>0.959775932114086</v>
      </c>
      <c r="E6" s="7">
        <v>0.9860878358855821</v>
      </c>
      <c r="F6" s="7">
        <v>0.957851870705014</v>
      </c>
      <c r="G6" s="8">
        <v>42.148129294986</v>
      </c>
      <c r="H6" s="7">
        <v>0.9016943497073047</v>
      </c>
      <c r="I6" s="7">
        <v>0.04003118596355658</v>
      </c>
      <c r="J6" s="9">
        <v>78.76174739119369</v>
      </c>
      <c r="K6" s="7">
        <v>0.9464233718334465</v>
      </c>
      <c r="L6" s="8">
        <v>27.41582356235336</v>
      </c>
    </row>
    <row r="7" spans="1:12">
      <c r="A7" s="5">
        <v>3</v>
      </c>
      <c r="B7" s="6" t="s">
        <v>16</v>
      </c>
      <c r="C7" s="7">
        <v>0.9063520192739121</v>
      </c>
      <c r="D7" s="7">
        <v>0.9552936035009183</v>
      </c>
      <c r="E7" s="7">
        <v>0.9887732833818629</v>
      </c>
      <c r="F7" s="7">
        <v>0.959540507859734</v>
      </c>
      <c r="G7" s="8">
        <v>40.45949214026602</v>
      </c>
      <c r="H7" s="7">
        <v>0.9064524546553809</v>
      </c>
      <c r="I7" s="7">
        <v>0.04441706272369888</v>
      </c>
      <c r="J7" s="9">
        <v>81.18962506650544</v>
      </c>
      <c r="K7" s="7">
        <v>0.9445687929272945</v>
      </c>
      <c r="L7" s="8">
        <v>23.13899931702078</v>
      </c>
    </row>
    <row r="8" spans="1:12">
      <c r="A8" s="5">
        <v>4</v>
      </c>
      <c r="B8" s="6" t="s">
        <v>17</v>
      </c>
      <c r="C8" s="7">
        <v>0.8620682932970255</v>
      </c>
      <c r="D8" s="7">
        <v>0.9639250350122807</v>
      </c>
      <c r="E8" s="7">
        <v>0.9460673008826944</v>
      </c>
      <c r="F8" s="7">
        <v>0.9453146318834252</v>
      </c>
      <c r="G8" s="8">
        <v>54.6853681165748</v>
      </c>
      <c r="H8" s="7">
        <v>0.8778010969819353</v>
      </c>
      <c r="I8" s="7">
        <v>0.03734572848212855</v>
      </c>
      <c r="J8" s="9">
        <v>81.35843707362332</v>
      </c>
      <c r="K8" s="7">
        <v>0.9119379561273251</v>
      </c>
      <c r="L8" s="8">
        <v>5.712014965958938</v>
      </c>
    </row>
    <row r="10" spans="1:12">
      <c r="A10" s="10" t="s">
        <v>18</v>
      </c>
    </row>
    <row r="11" spans="1:12">
      <c r="A11" s="3" t="s">
        <v>3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</row>
    <row r="12" spans="1:12">
      <c r="A12" s="6" t="s">
        <v>16</v>
      </c>
      <c r="B12" s="5">
        <v>41350</v>
      </c>
      <c r="C12" s="11">
        <v>3357190.9965</v>
      </c>
      <c r="D12" s="9">
        <v>39.04852551390568</v>
      </c>
      <c r="E12" s="9">
        <v>23.29749842805321</v>
      </c>
      <c r="F12" s="9">
        <v>60.23168293308158</v>
      </c>
      <c r="G12" s="8">
        <v>757</v>
      </c>
      <c r="H12" s="11">
        <v>15471.9465</v>
      </c>
    </row>
    <row r="13" spans="1:12">
      <c r="A13" s="6" t="s">
        <v>14</v>
      </c>
      <c r="B13" s="5">
        <v>44101</v>
      </c>
      <c r="C13" s="11">
        <v>2840509.5445</v>
      </c>
      <c r="D13" s="9">
        <v>36.85224099226775</v>
      </c>
      <c r="E13" s="9">
        <v>18.93972857758327</v>
      </c>
      <c r="F13" s="9">
        <v>53.89823643285797</v>
      </c>
      <c r="G13" s="8">
        <v>314.8</v>
      </c>
      <c r="H13" s="11">
        <v>14816.3245</v>
      </c>
    </row>
    <row r="14" spans="1:12">
      <c r="A14" s="6" t="s">
        <v>17</v>
      </c>
      <c r="B14" s="5">
        <v>36646</v>
      </c>
      <c r="C14" s="11">
        <v>2981461.285</v>
      </c>
      <c r="D14" s="9">
        <v>42.57960377667413</v>
      </c>
      <c r="E14" s="9">
        <v>25.35392321126453</v>
      </c>
      <c r="F14" s="9">
        <v>71.70241318104645</v>
      </c>
      <c r="G14" s="8">
        <v>512.6</v>
      </c>
      <c r="H14" s="11">
        <v>21037.075</v>
      </c>
    </row>
    <row r="15" spans="1:12">
      <c r="A15" s="6" t="s">
        <v>15</v>
      </c>
      <c r="B15" s="5">
        <v>39290</v>
      </c>
      <c r="C15" s="11">
        <v>3094549.055</v>
      </c>
      <c r="D15" s="9">
        <v>38.81791371850344</v>
      </c>
      <c r="E15" s="9">
        <v>23.74640544667854</v>
      </c>
      <c r="F15" s="9">
        <v>68.34436541307119</v>
      </c>
      <c r="G15" s="8">
        <v>580.2</v>
      </c>
      <c r="H15" s="11">
        <v>16422.595</v>
      </c>
    </row>
    <row r="17" spans="1:9">
      <c r="A17" s="12" t="s">
        <v>26</v>
      </c>
      <c r="B17" s="12"/>
      <c r="C17" s="12"/>
      <c r="D17" s="12"/>
      <c r="E17" s="12"/>
      <c r="F17" s="12"/>
      <c r="G17" s="12"/>
      <c r="H17" s="12"/>
      <c r="I17" s="12"/>
    </row>
    <row r="18" spans="1:9">
      <c r="A18" s="12" t="s">
        <v>27</v>
      </c>
      <c r="B18" s="12"/>
      <c r="C18" s="12"/>
      <c r="D18" s="12"/>
      <c r="E18" s="12"/>
      <c r="F18" s="12"/>
      <c r="G18" s="12"/>
      <c r="H18" s="12"/>
      <c r="I18" s="12"/>
    </row>
    <row r="19" spans="1:9">
      <c r="A19" s="12" t="s">
        <v>28</v>
      </c>
      <c r="B19" s="12"/>
      <c r="C19" s="12"/>
      <c r="D19" s="12"/>
      <c r="E19" s="12"/>
      <c r="F19" s="12"/>
      <c r="G19" s="12"/>
      <c r="H19" s="12"/>
      <c r="I19" s="12"/>
    </row>
    <row r="20" spans="1:9">
      <c r="A20" s="12" t="s">
        <v>29</v>
      </c>
      <c r="B20" s="12"/>
      <c r="C20" s="12"/>
      <c r="D20" s="12"/>
      <c r="E20" s="12"/>
      <c r="F20" s="12"/>
      <c r="G20" s="12"/>
      <c r="H20" s="12"/>
      <c r="I20" s="12"/>
    </row>
    <row r="21" spans="1:9">
      <c r="A21" s="12" t="s">
        <v>30</v>
      </c>
      <c r="B21" s="12"/>
      <c r="C21" s="12"/>
      <c r="D21" s="12"/>
      <c r="E21" s="12"/>
      <c r="F21" s="12"/>
      <c r="G21" s="12"/>
      <c r="H21" s="12"/>
      <c r="I21" s="12"/>
    </row>
    <row r="22" spans="1:9">
      <c r="A22" s="12" t="s">
        <v>31</v>
      </c>
      <c r="B22" s="12"/>
      <c r="C22" s="12"/>
      <c r="D22" s="12"/>
      <c r="E22" s="12"/>
      <c r="F22" s="12"/>
      <c r="G22" s="12"/>
      <c r="H22" s="12"/>
      <c r="I22" s="12"/>
    </row>
  </sheetData>
  <mergeCells count="6">
    <mergeCell ref="A17:I17"/>
    <mergeCell ref="A18:I18"/>
    <mergeCell ref="A19:I19"/>
    <mergeCell ref="A20:I20"/>
    <mergeCell ref="A21:I21"/>
    <mergeCell ref="A22:I22"/>
  </mergeCells>
  <conditionalFormatting sqref="L4:L7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</sheetPr>
  <dimension ref="A1:Y56"/>
  <sheetViews>
    <sheetView showGridLines="0" workbookViewId="0"/>
  </sheetViews>
  <sheetFormatPr defaultRowHeight="15"/>
  <cols>
    <col min="1" max="1" width="16.7109375" customWidth="1"/>
  </cols>
  <sheetData>
    <row r="1" spans="1:25">
      <c r="A1" s="1" t="s">
        <v>32</v>
      </c>
    </row>
    <row r="2" spans="1:25">
      <c r="A2" s="2" t="s">
        <v>33</v>
      </c>
    </row>
    <row r="4" spans="1:25">
      <c r="A4" s="3" t="s">
        <v>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46</v>
      </c>
      <c r="O4" s="4" t="s">
        <v>47</v>
      </c>
      <c r="P4" s="4" t="s">
        <v>48</v>
      </c>
      <c r="Q4" s="4" t="s">
        <v>49</v>
      </c>
      <c r="R4" s="4" t="s">
        <v>50</v>
      </c>
      <c r="S4" s="4" t="s">
        <v>51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57</v>
      </c>
    </row>
    <row r="5" spans="1:25">
      <c r="A5" s="6" t="s">
        <v>16</v>
      </c>
      <c r="B5" s="13" t="s">
        <v>58</v>
      </c>
      <c r="C5" s="8">
        <v>33.86699507389162</v>
      </c>
      <c r="D5" s="8">
        <v>32.72910372608258</v>
      </c>
      <c r="E5" s="8">
        <v>50.54012345679013</v>
      </c>
      <c r="F5" s="8">
        <v>31.80706046836771</v>
      </c>
      <c r="G5" s="8">
        <v>39.06646372399797</v>
      </c>
      <c r="H5" s="8">
        <v>53.00859598853868</v>
      </c>
      <c r="I5" s="8">
        <v>89.7</v>
      </c>
      <c r="J5" s="8">
        <v>92.7</v>
      </c>
      <c r="K5" s="8">
        <v>91.8</v>
      </c>
      <c r="L5" s="8">
        <v>92.5</v>
      </c>
      <c r="M5" s="8">
        <v>92.5</v>
      </c>
      <c r="N5" s="8">
        <v>90.90000000000001</v>
      </c>
      <c r="O5" s="8">
        <v>93.87283236994219</v>
      </c>
      <c r="P5" s="8">
        <v>96.73648319532391</v>
      </c>
      <c r="Q5" s="8">
        <v>95.22409992652462</v>
      </c>
      <c r="R5" s="8">
        <v>92.85946121389159</v>
      </c>
      <c r="S5" s="8">
        <v>94.6685878962536</v>
      </c>
      <c r="T5" s="8">
        <v>97.16937354988399</v>
      </c>
      <c r="U5" s="14" t="s">
        <v>59</v>
      </c>
      <c r="V5" s="13" t="s">
        <v>60</v>
      </c>
      <c r="W5" s="13" t="s">
        <v>60</v>
      </c>
      <c r="X5" s="5">
        <v>1</v>
      </c>
      <c r="Y5" s="13" t="s">
        <v>61</v>
      </c>
    </row>
    <row r="6" spans="1:25">
      <c r="A6" s="6" t="s">
        <v>16</v>
      </c>
      <c r="B6" s="13" t="s">
        <v>62</v>
      </c>
      <c r="C6" s="8">
        <v>45.3257790368272</v>
      </c>
      <c r="D6" s="8">
        <v>31.44171779141104</v>
      </c>
      <c r="E6" s="8">
        <v>31.46584804297774</v>
      </c>
      <c r="F6" s="8">
        <v>35.16624040920716</v>
      </c>
      <c r="G6" s="8">
        <v>40.31677465802736</v>
      </c>
      <c r="H6" s="8">
        <v>30.42198233562316</v>
      </c>
      <c r="I6" s="8">
        <v>89.40000000000001</v>
      </c>
      <c r="J6" s="8">
        <v>89.8</v>
      </c>
      <c r="K6" s="8">
        <v>89.90000000000001</v>
      </c>
      <c r="L6" s="8">
        <v>89.2</v>
      </c>
      <c r="M6" s="8">
        <v>89.5</v>
      </c>
      <c r="N6" s="8">
        <v>88.59999999999999</v>
      </c>
      <c r="O6" s="8">
        <v>93.55123674911661</v>
      </c>
      <c r="P6" s="8">
        <v>93.94812680115274</v>
      </c>
      <c r="Q6" s="8">
        <v>93.20457796852646</v>
      </c>
      <c r="R6" s="8">
        <v>92.87410926365796</v>
      </c>
      <c r="S6" s="8">
        <v>94.48979591836735</v>
      </c>
      <c r="T6" s="8">
        <v>93.05936073059361</v>
      </c>
      <c r="U6" s="13" t="s">
        <v>60</v>
      </c>
      <c r="V6" s="13" t="s">
        <v>60</v>
      </c>
      <c r="W6" s="13" t="s">
        <v>60</v>
      </c>
      <c r="X6" s="5">
        <v>0</v>
      </c>
      <c r="Y6" s="13" t="s">
        <v>61</v>
      </c>
    </row>
    <row r="7" spans="1:25">
      <c r="A7" s="6" t="s">
        <v>16</v>
      </c>
      <c r="B7" s="13" t="s">
        <v>63</v>
      </c>
      <c r="C7" s="8">
        <v>36.74860063275736</v>
      </c>
      <c r="D7" s="8">
        <v>46.29021667760998</v>
      </c>
      <c r="E7" s="8">
        <v>49.08485856905158</v>
      </c>
      <c r="F7" s="8">
        <v>33.01476976542137</v>
      </c>
      <c r="G7" s="8">
        <v>48.5239226331863</v>
      </c>
      <c r="H7" s="8">
        <v>42.36050248320187</v>
      </c>
      <c r="I7" s="8">
        <v>88.09999999999999</v>
      </c>
      <c r="J7" s="8">
        <v>92.59999999999999</v>
      </c>
      <c r="K7" s="8">
        <v>92</v>
      </c>
      <c r="L7" s="8">
        <v>90.40000000000001</v>
      </c>
      <c r="M7" s="8">
        <v>89.5</v>
      </c>
      <c r="N7" s="8">
        <v>90.09999999999999</v>
      </c>
      <c r="O7" s="8">
        <v>97.90326423635931</v>
      </c>
      <c r="P7" s="8">
        <v>93.72307692307692</v>
      </c>
      <c r="Q7" s="8">
        <v>93.90625</v>
      </c>
      <c r="R7" s="8">
        <v>94.18985270049099</v>
      </c>
      <c r="S7" s="8">
        <v>92.61470773098679</v>
      </c>
      <c r="T7" s="8">
        <v>96.36824324324324</v>
      </c>
      <c r="U7" s="13" t="s">
        <v>60</v>
      </c>
      <c r="V7" s="14" t="s">
        <v>59</v>
      </c>
      <c r="W7" s="13" t="s">
        <v>60</v>
      </c>
      <c r="X7" s="5">
        <v>1</v>
      </c>
      <c r="Y7" s="13" t="s">
        <v>61</v>
      </c>
    </row>
    <row r="8" spans="1:25">
      <c r="A8" s="6" t="s">
        <v>14</v>
      </c>
      <c r="B8" s="13" t="s">
        <v>58</v>
      </c>
      <c r="C8" s="8">
        <v>15.59116500649632</v>
      </c>
      <c r="D8" s="8">
        <v>21.10817941952507</v>
      </c>
      <c r="E8" s="8">
        <v>20.80506558118498</v>
      </c>
      <c r="F8" s="8">
        <v>19.71153846153846</v>
      </c>
      <c r="G8" s="8">
        <v>16.22574955908289</v>
      </c>
      <c r="H8" s="8">
        <v>17.98410706817231</v>
      </c>
      <c r="I8" s="8">
        <v>97.59999999999999</v>
      </c>
      <c r="J8" s="8">
        <v>94.40000000000001</v>
      </c>
      <c r="K8" s="8">
        <v>94.8</v>
      </c>
      <c r="L8" s="8">
        <v>96.3</v>
      </c>
      <c r="M8" s="8">
        <v>95.09999999999999</v>
      </c>
      <c r="N8" s="8">
        <v>94.3</v>
      </c>
      <c r="O8" s="8">
        <v>101.4499121265378</v>
      </c>
      <c r="P8" s="8">
        <v>99.84193888303477</v>
      </c>
      <c r="Q8" s="8">
        <v>99.5049504950495</v>
      </c>
      <c r="R8" s="8">
        <v>98.95337773549001</v>
      </c>
      <c r="S8" s="8">
        <v>102.6058631921824</v>
      </c>
      <c r="T8" s="8">
        <v>98.55729596042869</v>
      </c>
      <c r="U8" s="13" t="s">
        <v>60</v>
      </c>
      <c r="V8" s="13" t="s">
        <v>60</v>
      </c>
      <c r="W8" s="13" t="s">
        <v>60</v>
      </c>
      <c r="X8" s="5">
        <v>0</v>
      </c>
      <c r="Y8" s="13" t="s">
        <v>61</v>
      </c>
    </row>
    <row r="9" spans="1:25">
      <c r="A9" s="6" t="s">
        <v>14</v>
      </c>
      <c r="B9" s="13" t="s">
        <v>62</v>
      </c>
      <c r="C9" s="8">
        <v>21.77068214804064</v>
      </c>
      <c r="D9" s="8">
        <v>25.99179206566347</v>
      </c>
      <c r="E9" s="8">
        <v>10.11122345803842</v>
      </c>
      <c r="F9" s="8">
        <v>27.58077226162333</v>
      </c>
      <c r="G9" s="8">
        <v>13.5593220338983</v>
      </c>
      <c r="H9" s="8">
        <v>14.31492842535787</v>
      </c>
      <c r="I9" s="8">
        <v>96.7</v>
      </c>
      <c r="J9" s="8">
        <v>97.5</v>
      </c>
      <c r="K9" s="8">
        <v>97.40000000000001</v>
      </c>
      <c r="L9" s="8">
        <v>94.59999999999999</v>
      </c>
      <c r="M9" s="8">
        <v>95.09999999999999</v>
      </c>
      <c r="N9" s="8">
        <v>95.2</v>
      </c>
      <c r="O9" s="8">
        <v>99.42279942279943</v>
      </c>
      <c r="P9" s="8">
        <v>98.78378378378379</v>
      </c>
      <c r="Q9" s="8">
        <v>97.15127701375246</v>
      </c>
      <c r="R9" s="8">
        <v>98.90880748246298</v>
      </c>
      <c r="S9" s="8">
        <v>97.11934156378601</v>
      </c>
      <c r="T9" s="8">
        <v>100.3076923076923</v>
      </c>
      <c r="U9" s="13" t="s">
        <v>60</v>
      </c>
      <c r="V9" s="13" t="s">
        <v>60</v>
      </c>
      <c r="W9" s="13" t="s">
        <v>60</v>
      </c>
      <c r="X9" s="5">
        <v>0</v>
      </c>
      <c r="Y9" s="13" t="s">
        <v>61</v>
      </c>
    </row>
    <row r="10" spans="1:25">
      <c r="A10" s="6" t="s">
        <v>14</v>
      </c>
      <c r="B10" s="13" t="s">
        <v>63</v>
      </c>
      <c r="C10" s="8">
        <v>21.09996540989277</v>
      </c>
      <c r="D10" s="8">
        <v>15.24105754276827</v>
      </c>
      <c r="E10" s="8">
        <v>16.93989071038251</v>
      </c>
      <c r="F10" s="8">
        <v>24.4683283786874</v>
      </c>
      <c r="G10" s="8">
        <v>23.23080232308023</v>
      </c>
      <c r="H10" s="8">
        <v>10.37822878228782</v>
      </c>
      <c r="I10" s="8">
        <v>95.3</v>
      </c>
      <c r="J10" s="8">
        <v>96.40000000000001</v>
      </c>
      <c r="K10" s="8">
        <v>95.09999999999999</v>
      </c>
      <c r="L10" s="8">
        <v>97.2</v>
      </c>
      <c r="M10" s="8">
        <v>95</v>
      </c>
      <c r="N10" s="8">
        <v>94</v>
      </c>
      <c r="O10" s="8">
        <v>100.9427374301676</v>
      </c>
      <c r="P10" s="8">
        <v>96.83734939759037</v>
      </c>
      <c r="Q10" s="8">
        <v>98.83877936807993</v>
      </c>
      <c r="R10" s="8">
        <v>97.6988382484361</v>
      </c>
      <c r="S10" s="8">
        <v>100.2804141501294</v>
      </c>
      <c r="T10" s="8">
        <v>102.2159358793022</v>
      </c>
      <c r="U10" s="13" t="s">
        <v>60</v>
      </c>
      <c r="V10" s="13" t="s">
        <v>60</v>
      </c>
      <c r="W10" s="13" t="s">
        <v>60</v>
      </c>
      <c r="X10" s="5">
        <v>0</v>
      </c>
      <c r="Y10" s="13" t="s">
        <v>61</v>
      </c>
    </row>
    <row r="11" spans="1:25">
      <c r="A11" s="6" t="s">
        <v>17</v>
      </c>
      <c r="B11" s="13" t="s">
        <v>58</v>
      </c>
      <c r="C11" s="8">
        <v>67.04397039616892</v>
      </c>
      <c r="D11" s="8">
        <v>35.28581510232887</v>
      </c>
      <c r="E11" s="8">
        <v>58.77154220061865</v>
      </c>
      <c r="F11" s="8">
        <v>73.50326022525194</v>
      </c>
      <c r="G11" s="8">
        <v>61.65703275529865</v>
      </c>
      <c r="H11" s="8">
        <v>68.14079422382672</v>
      </c>
      <c r="I11" s="8">
        <v>86.3</v>
      </c>
      <c r="J11" s="8">
        <v>90.3</v>
      </c>
      <c r="K11" s="8">
        <v>85.7</v>
      </c>
      <c r="L11" s="8">
        <v>90.8</v>
      </c>
      <c r="M11" s="8">
        <v>87.90000000000001</v>
      </c>
      <c r="N11" s="8">
        <v>87</v>
      </c>
      <c r="O11" s="8">
        <v>87.07354056103108</v>
      </c>
      <c r="P11" s="8">
        <v>93.22368421052632</v>
      </c>
      <c r="Q11" s="8">
        <v>88.12305295950156</v>
      </c>
      <c r="R11" s="8">
        <v>94.19318816303741</v>
      </c>
      <c r="S11" s="8">
        <v>91.31964809384165</v>
      </c>
      <c r="T11" s="8">
        <v>89.97157937474624</v>
      </c>
      <c r="U11" s="14" t="s">
        <v>59</v>
      </c>
      <c r="V11" s="13" t="s">
        <v>60</v>
      </c>
      <c r="W11" s="13" t="s">
        <v>60</v>
      </c>
      <c r="X11" s="5">
        <v>1</v>
      </c>
      <c r="Y11" s="13" t="s">
        <v>61</v>
      </c>
    </row>
    <row r="12" spans="1:25">
      <c r="A12" s="6" t="s">
        <v>17</v>
      </c>
      <c r="B12" s="13" t="s">
        <v>62</v>
      </c>
      <c r="C12" s="8">
        <v>64.99261447562776</v>
      </c>
      <c r="D12" s="8">
        <v>51.91059841384282</v>
      </c>
      <c r="E12" s="8">
        <v>63.58885017421603</v>
      </c>
      <c r="F12" s="8">
        <v>53.94190871369295</v>
      </c>
      <c r="G12" s="8">
        <v>61.33333333333333</v>
      </c>
      <c r="H12" s="8">
        <v>48.35766423357664</v>
      </c>
      <c r="I12" s="8">
        <v>82.2</v>
      </c>
      <c r="J12" s="8">
        <v>89.90000000000001</v>
      </c>
      <c r="K12" s="8">
        <v>89.59999999999999</v>
      </c>
      <c r="L12" s="8">
        <v>90.3</v>
      </c>
      <c r="M12" s="8">
        <v>89.09999999999999</v>
      </c>
      <c r="N12" s="8">
        <v>92.09999999999999</v>
      </c>
      <c r="O12" s="8">
        <v>87.52424046541694</v>
      </c>
      <c r="P12" s="8">
        <v>94.28959891230456</v>
      </c>
      <c r="Q12" s="8">
        <v>91.47410358565737</v>
      </c>
      <c r="R12" s="8">
        <v>91.63498098859316</v>
      </c>
      <c r="S12" s="8">
        <v>94.45843828715365</v>
      </c>
      <c r="T12" s="8">
        <v>88.74493927125506</v>
      </c>
      <c r="U12" s="13" t="s">
        <v>60</v>
      </c>
      <c r="V12" s="13" t="s">
        <v>60</v>
      </c>
      <c r="W12" s="13" t="s">
        <v>60</v>
      </c>
      <c r="X12" s="5">
        <v>0</v>
      </c>
      <c r="Y12" s="13" t="s">
        <v>61</v>
      </c>
    </row>
    <row r="13" spans="1:25">
      <c r="A13" s="6" t="s">
        <v>17</v>
      </c>
      <c r="B13" s="13" t="s">
        <v>63</v>
      </c>
      <c r="C13" s="8">
        <v>63.69802418165733</v>
      </c>
      <c r="D13" s="8">
        <v>51.21602288984263</v>
      </c>
      <c r="E13" s="8">
        <v>41.66666666666666</v>
      </c>
      <c r="F13" s="8">
        <v>47.5609756097561</v>
      </c>
      <c r="G13" s="8">
        <v>44.26990360585506</v>
      </c>
      <c r="H13" s="8">
        <v>44.07294832826748</v>
      </c>
      <c r="I13" s="8">
        <v>85</v>
      </c>
      <c r="J13" s="8">
        <v>85.59999999999999</v>
      </c>
      <c r="K13" s="8">
        <v>90.7</v>
      </c>
      <c r="L13" s="8">
        <v>89.59999999999999</v>
      </c>
      <c r="M13" s="8">
        <v>87.3</v>
      </c>
      <c r="N13" s="8">
        <v>87.90000000000001</v>
      </c>
      <c r="O13" s="8">
        <v>95.22606009547879</v>
      </c>
      <c r="P13" s="8">
        <v>93.67461806486197</v>
      </c>
      <c r="Q13" s="8">
        <v>88.77742946708463</v>
      </c>
      <c r="R13" s="8">
        <v>92.4812030075188</v>
      </c>
      <c r="S13" s="8">
        <v>94.27802086839449</v>
      </c>
      <c r="T13" s="8">
        <v>90.65858363185451</v>
      </c>
      <c r="U13" s="13" t="s">
        <v>60</v>
      </c>
      <c r="V13" s="13" t="s">
        <v>60</v>
      </c>
      <c r="W13" s="13" t="s">
        <v>60</v>
      </c>
      <c r="X13" s="5">
        <v>0</v>
      </c>
      <c r="Y13" s="13" t="s">
        <v>61</v>
      </c>
    </row>
    <row r="14" spans="1:25">
      <c r="A14" s="6" t="s">
        <v>15</v>
      </c>
      <c r="B14" s="13" t="s">
        <v>58</v>
      </c>
      <c r="C14" s="8">
        <v>41.23711340206186</v>
      </c>
      <c r="D14" s="8">
        <v>27.37940026075619</v>
      </c>
      <c r="E14" s="8">
        <v>33.20835565077665</v>
      </c>
      <c r="F14" s="8">
        <v>43.61510791366906</v>
      </c>
      <c r="G14" s="8">
        <v>42.86926994906622</v>
      </c>
      <c r="H14" s="8">
        <v>42.19143576826197</v>
      </c>
      <c r="I14" s="8">
        <v>92.3</v>
      </c>
      <c r="J14" s="8">
        <v>92.8</v>
      </c>
      <c r="K14" s="8">
        <v>91.09999999999999</v>
      </c>
      <c r="L14" s="8">
        <v>88.59999999999999</v>
      </c>
      <c r="M14" s="8">
        <v>85.7</v>
      </c>
      <c r="N14" s="8">
        <v>87</v>
      </c>
      <c r="O14" s="8">
        <v>97.80545670225386</v>
      </c>
      <c r="P14" s="8">
        <v>95.51681195516812</v>
      </c>
      <c r="Q14" s="8">
        <v>94.38827098078868</v>
      </c>
      <c r="R14" s="8">
        <v>94.31721798134012</v>
      </c>
      <c r="S14" s="8">
        <v>94.39102564102564</v>
      </c>
      <c r="T14" s="8">
        <v>93.57690041249263</v>
      </c>
      <c r="U14" s="13" t="s">
        <v>60</v>
      </c>
      <c r="V14" s="14" t="s">
        <v>59</v>
      </c>
      <c r="W14" s="14" t="s">
        <v>59</v>
      </c>
      <c r="X14" s="5">
        <v>2</v>
      </c>
      <c r="Y14" s="14" t="s">
        <v>57</v>
      </c>
    </row>
    <row r="15" spans="1:25">
      <c r="A15" s="6" t="s">
        <v>15</v>
      </c>
      <c r="B15" s="13" t="s">
        <v>62</v>
      </c>
      <c r="C15" s="8">
        <v>48.88507718696398</v>
      </c>
      <c r="D15" s="8">
        <v>35.46981953951462</v>
      </c>
      <c r="E15" s="8">
        <v>35.64547206165703</v>
      </c>
      <c r="F15" s="8">
        <v>39.96865203761755</v>
      </c>
      <c r="G15" s="8">
        <v>37.59398496240601</v>
      </c>
      <c r="H15" s="8">
        <v>39.85507246376811</v>
      </c>
      <c r="I15" s="8">
        <v>91.90000000000001</v>
      </c>
      <c r="J15" s="8">
        <v>93.2</v>
      </c>
      <c r="K15" s="8">
        <v>89.09999999999999</v>
      </c>
      <c r="L15" s="8">
        <v>89.5</v>
      </c>
      <c r="M15" s="8">
        <v>88.2</v>
      </c>
      <c r="N15" s="8">
        <v>87.90000000000001</v>
      </c>
      <c r="O15" s="8">
        <v>94.18416801292408</v>
      </c>
      <c r="P15" s="8">
        <v>96.92400482509046</v>
      </c>
      <c r="Q15" s="8">
        <v>94.88117001828154</v>
      </c>
      <c r="R15" s="8">
        <v>94.44855662472243</v>
      </c>
      <c r="S15" s="8">
        <v>93.66197183098592</v>
      </c>
      <c r="T15" s="8">
        <v>95.06314580941446</v>
      </c>
      <c r="U15" s="13" t="s">
        <v>60</v>
      </c>
      <c r="V15" s="14" t="s">
        <v>59</v>
      </c>
      <c r="W15" s="14" t="s">
        <v>59</v>
      </c>
      <c r="X15" s="5">
        <v>2</v>
      </c>
      <c r="Y15" s="14" t="s">
        <v>57</v>
      </c>
    </row>
    <row r="16" spans="1:25">
      <c r="A16" s="6" t="s">
        <v>15</v>
      </c>
      <c r="B16" s="13" t="s">
        <v>63</v>
      </c>
      <c r="C16" s="8">
        <v>26.55160969133754</v>
      </c>
      <c r="D16" s="8">
        <v>43.36283185840708</v>
      </c>
      <c r="E16" s="8">
        <v>35.27653213751869</v>
      </c>
      <c r="F16" s="8">
        <v>55.43964232488823</v>
      </c>
      <c r="G16" s="8">
        <v>50.75134675361497</v>
      </c>
      <c r="H16" s="8">
        <v>55.5055505550555</v>
      </c>
      <c r="I16" s="8">
        <v>93.90000000000001</v>
      </c>
      <c r="J16" s="8">
        <v>91.59999999999999</v>
      </c>
      <c r="K16" s="8">
        <v>92.3</v>
      </c>
      <c r="L16" s="8">
        <v>91.3</v>
      </c>
      <c r="M16" s="8">
        <v>90.09999999999999</v>
      </c>
      <c r="N16" s="8">
        <v>84.3</v>
      </c>
      <c r="O16" s="8">
        <v>94.09743910056216</v>
      </c>
      <c r="P16" s="8">
        <v>93.81486093814861</v>
      </c>
      <c r="Q16" s="8">
        <v>94.11930219471019</v>
      </c>
      <c r="R16" s="8">
        <v>94.98867497168743</v>
      </c>
      <c r="S16" s="8">
        <v>94.2292278920652</v>
      </c>
      <c r="T16" s="8">
        <v>95.09272467902996</v>
      </c>
      <c r="U16" s="14" t="s">
        <v>59</v>
      </c>
      <c r="V16" s="14" t="s">
        <v>59</v>
      </c>
      <c r="W16" s="13" t="s">
        <v>60</v>
      </c>
      <c r="X16" s="5">
        <v>2</v>
      </c>
      <c r="Y16" s="14" t="s">
        <v>57</v>
      </c>
    </row>
    <row r="18" spans="1:12">
      <c r="A18" s="12" t="s">
        <v>64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20" spans="1:12">
      <c r="A20" s="10" t="s">
        <v>65</v>
      </c>
    </row>
    <row r="21" spans="1:12">
      <c r="A21" s="3" t="s">
        <v>3</v>
      </c>
      <c r="B21" s="4" t="s">
        <v>66</v>
      </c>
      <c r="C21" s="4" t="s">
        <v>67</v>
      </c>
      <c r="D21" s="4" t="s">
        <v>68</v>
      </c>
      <c r="E21" s="4" t="s">
        <v>69</v>
      </c>
    </row>
    <row r="22" spans="1:12">
      <c r="A22" s="6" t="s">
        <v>16</v>
      </c>
      <c r="B22" s="13" t="s">
        <v>70</v>
      </c>
      <c r="C22" s="15">
        <v>0.9536191572616606</v>
      </c>
      <c r="D22" s="15">
        <v>0.1256412370490734</v>
      </c>
      <c r="E22" s="13" t="s">
        <v>71</v>
      </c>
    </row>
    <row r="23" spans="1:12">
      <c r="A23" s="6" t="s">
        <v>16</v>
      </c>
      <c r="B23" s="13" t="s">
        <v>72</v>
      </c>
      <c r="C23" s="15">
        <v>0.04833054590319783</v>
      </c>
      <c r="D23" s="15">
        <v>0.005781411590056629</v>
      </c>
      <c r="E23" s="13" t="s">
        <v>73</v>
      </c>
    </row>
    <row r="24" spans="1:12">
      <c r="A24" s="6" t="s">
        <v>14</v>
      </c>
      <c r="B24" s="13" t="s">
        <v>70</v>
      </c>
      <c r="C24" s="15">
        <v>-0.6558489129027173</v>
      </c>
      <c r="D24" s="15">
        <v>0.1283128683717947</v>
      </c>
      <c r="E24" s="13" t="s">
        <v>74</v>
      </c>
    </row>
    <row r="25" spans="1:12">
      <c r="A25" s="6" t="s">
        <v>14</v>
      </c>
      <c r="B25" s="13" t="s">
        <v>72</v>
      </c>
      <c r="C25" s="15">
        <v>-0.361304998732971</v>
      </c>
      <c r="D25" s="15">
        <v>0.580240054705724</v>
      </c>
      <c r="E25" s="13" t="s">
        <v>75</v>
      </c>
    </row>
    <row r="26" spans="1:12">
      <c r="A26" s="6" t="s">
        <v>17</v>
      </c>
      <c r="B26" s="13" t="s">
        <v>70</v>
      </c>
      <c r="C26" s="15">
        <v>-1.220904580166724</v>
      </c>
      <c r="D26" s="15">
        <v>0.1460369935518715</v>
      </c>
      <c r="E26" s="13" t="s">
        <v>76</v>
      </c>
    </row>
    <row r="27" spans="1:12">
      <c r="A27" s="6" t="s">
        <v>17</v>
      </c>
      <c r="B27" s="13" t="s">
        <v>72</v>
      </c>
      <c r="C27" s="15">
        <v>0.5407750423688521</v>
      </c>
      <c r="D27" s="15">
        <v>0.3418931439262688</v>
      </c>
      <c r="E27" s="13" t="s">
        <v>77</v>
      </c>
    </row>
    <row r="28" spans="1:12">
      <c r="A28" s="6" t="s">
        <v>15</v>
      </c>
      <c r="B28" s="13" t="s">
        <v>70</v>
      </c>
      <c r="C28" s="15">
        <v>3.104761360274088</v>
      </c>
      <c r="D28" s="15">
        <v>0.7310196542396608</v>
      </c>
      <c r="E28" s="13" t="s">
        <v>78</v>
      </c>
    </row>
    <row r="29" spans="1:12">
      <c r="A29" s="6" t="s">
        <v>15</v>
      </c>
      <c r="B29" s="13" t="s">
        <v>72</v>
      </c>
      <c r="C29" s="15">
        <v>-1.437507964646348</v>
      </c>
      <c r="D29" s="15">
        <v>0.9401641514539012</v>
      </c>
      <c r="E29" s="13" t="s">
        <v>79</v>
      </c>
    </row>
    <row r="31" spans="1:12">
      <c r="A31" s="10" t="s">
        <v>80</v>
      </c>
    </row>
    <row r="32" spans="1:12">
      <c r="A32" s="3" t="s">
        <v>3</v>
      </c>
      <c r="B32" s="4" t="s">
        <v>81</v>
      </c>
      <c r="C32" s="4" t="s">
        <v>82</v>
      </c>
      <c r="D32" s="4" t="s">
        <v>83</v>
      </c>
      <c r="E32" s="4" t="s">
        <v>84</v>
      </c>
      <c r="F32" s="4" t="s">
        <v>85</v>
      </c>
      <c r="G32" s="4" t="s">
        <v>86</v>
      </c>
    </row>
    <row r="33" spans="1:7">
      <c r="A33" s="13" t="s">
        <v>16</v>
      </c>
      <c r="B33" s="16" t="s">
        <v>87</v>
      </c>
      <c r="C33" s="5">
        <v>6792</v>
      </c>
      <c r="D33" s="8">
        <v>37.39693757361602</v>
      </c>
      <c r="E33" s="7">
        <v>0.8868526207302707</v>
      </c>
      <c r="F33" s="7">
        <v>0.9621759456013599</v>
      </c>
      <c r="G33" s="8">
        <v>133</v>
      </c>
    </row>
    <row r="34" spans="1:7">
      <c r="A34" s="13" t="s">
        <v>16</v>
      </c>
      <c r="B34" s="16" t="s">
        <v>88</v>
      </c>
      <c r="C34" s="5">
        <v>6336</v>
      </c>
      <c r="D34" s="8">
        <v>38.98358585858585</v>
      </c>
      <c r="E34" s="7">
        <v>0.9205508207070707</v>
      </c>
      <c r="F34" s="7">
        <v>0.9469436556568525</v>
      </c>
      <c r="G34" s="8">
        <v>144</v>
      </c>
    </row>
    <row r="35" spans="1:7">
      <c r="A35" s="13" t="s">
        <v>16</v>
      </c>
      <c r="B35" s="16" t="s">
        <v>89</v>
      </c>
      <c r="C35" s="5">
        <v>7501</v>
      </c>
      <c r="D35" s="8">
        <v>46.52712971603786</v>
      </c>
      <c r="E35" s="7">
        <v>0.9156609785361952</v>
      </c>
      <c r="F35" s="7">
        <v>0.9423366834170853</v>
      </c>
      <c r="G35" s="8">
        <v>139.1</v>
      </c>
    </row>
    <row r="36" spans="1:7">
      <c r="A36" s="13" t="s">
        <v>16</v>
      </c>
      <c r="B36" s="16" t="s">
        <v>90</v>
      </c>
      <c r="C36" s="5">
        <v>7878</v>
      </c>
      <c r="D36" s="8">
        <v>33.003300330033</v>
      </c>
      <c r="E36" s="7">
        <v>0.9092440974866718</v>
      </c>
      <c r="F36" s="7">
        <v>0.9344087296880559</v>
      </c>
      <c r="G36" s="8">
        <v>142.3</v>
      </c>
    </row>
    <row r="37" spans="1:7">
      <c r="A37" s="13" t="s">
        <v>16</v>
      </c>
      <c r="B37" s="16" t="s">
        <v>91</v>
      </c>
      <c r="C37" s="5">
        <v>6307</v>
      </c>
      <c r="D37" s="8">
        <v>43.76090058664975</v>
      </c>
      <c r="E37" s="7">
        <v>0.9043752972887268</v>
      </c>
      <c r="F37" s="7">
        <v>0.9365904365904366</v>
      </c>
      <c r="G37" s="8">
        <v>108.2</v>
      </c>
    </row>
    <row r="38" spans="1:7">
      <c r="A38" s="13" t="s">
        <v>16</v>
      </c>
      <c r="B38" s="16" t="s">
        <v>92</v>
      </c>
      <c r="C38" s="5">
        <v>6536</v>
      </c>
      <c r="D38" s="8">
        <v>43.91064871481029</v>
      </c>
      <c r="E38" s="7">
        <v>0.9012244492044065</v>
      </c>
      <c r="F38" s="7">
        <v>0.9608938547486033</v>
      </c>
      <c r="G38" s="8">
        <v>90.40000000000001</v>
      </c>
    </row>
    <row r="39" spans="1:7">
      <c r="A39" s="13" t="s">
        <v>14</v>
      </c>
      <c r="B39" s="16" t="s">
        <v>87</v>
      </c>
      <c r="C39" s="5">
        <v>6578</v>
      </c>
      <c r="D39" s="8">
        <v>19.30678017634539</v>
      </c>
      <c r="E39" s="7">
        <v>0.9640062328975371</v>
      </c>
      <c r="F39" s="7">
        <v>1.00796812749004</v>
      </c>
      <c r="G39" s="8">
        <v>53.5</v>
      </c>
    </row>
    <row r="40" spans="1:7">
      <c r="A40" s="13" t="s">
        <v>14</v>
      </c>
      <c r="B40" s="16" t="s">
        <v>88</v>
      </c>
      <c r="C40" s="5">
        <v>6572</v>
      </c>
      <c r="D40" s="8">
        <v>19.32440657334145</v>
      </c>
      <c r="E40" s="7">
        <v>0.960680158247109</v>
      </c>
      <c r="F40" s="7">
        <v>0.9811884144520753</v>
      </c>
      <c r="G40" s="8">
        <v>64</v>
      </c>
    </row>
    <row r="41" spans="1:7">
      <c r="A41" s="13" t="s">
        <v>14</v>
      </c>
      <c r="B41" s="16" t="s">
        <v>89</v>
      </c>
      <c r="C41" s="5">
        <v>6860</v>
      </c>
      <c r="D41" s="8">
        <v>17.20116618075802</v>
      </c>
      <c r="E41" s="7">
        <v>0.9533489795918367</v>
      </c>
      <c r="F41" s="7">
        <v>0.9880455134668011</v>
      </c>
      <c r="G41" s="8">
        <v>57.8</v>
      </c>
    </row>
    <row r="42" spans="1:7">
      <c r="A42" s="13" t="s">
        <v>14</v>
      </c>
      <c r="B42" s="16" t="s">
        <v>90</v>
      </c>
      <c r="C42" s="5">
        <v>7722</v>
      </c>
      <c r="D42" s="8">
        <v>23.6985236985237</v>
      </c>
      <c r="E42" s="7">
        <v>0.9653030303030304</v>
      </c>
      <c r="F42" s="7">
        <v>0.9823177712759191</v>
      </c>
      <c r="G42" s="8">
        <v>49.3</v>
      </c>
    </row>
    <row r="43" spans="1:7">
      <c r="A43" s="13" t="s">
        <v>14</v>
      </c>
      <c r="B43" s="16" t="s">
        <v>91</v>
      </c>
      <c r="C43" s="5">
        <v>8664</v>
      </c>
      <c r="D43" s="8">
        <v>19.62142197599261</v>
      </c>
      <c r="E43" s="7">
        <v>0.9504634118190212</v>
      </c>
      <c r="F43" s="7">
        <v>1.005804504295333</v>
      </c>
      <c r="G43" s="8">
        <v>43.8</v>
      </c>
    </row>
    <row r="44" spans="1:7">
      <c r="A44" s="13" t="s">
        <v>14</v>
      </c>
      <c r="B44" s="16" t="s">
        <v>92</v>
      </c>
      <c r="C44" s="5">
        <v>7705</v>
      </c>
      <c r="D44" s="8">
        <v>13.23815704088254</v>
      </c>
      <c r="E44" s="7">
        <v>0.9424541207008437</v>
      </c>
      <c r="F44" s="7">
        <v>1.008111997906581</v>
      </c>
      <c r="G44" s="8">
        <v>46.4</v>
      </c>
    </row>
    <row r="45" spans="1:7">
      <c r="A45" s="13" t="s">
        <v>17</v>
      </c>
      <c r="B45" s="16" t="s">
        <v>87</v>
      </c>
      <c r="C45" s="5">
        <v>7042</v>
      </c>
      <c r="D45" s="8">
        <v>65.03834138028969</v>
      </c>
      <c r="E45" s="7">
        <v>0.8488567168418064</v>
      </c>
      <c r="F45" s="7">
        <v>0.9091143816163181</v>
      </c>
      <c r="G45" s="8">
        <v>68</v>
      </c>
    </row>
    <row r="46" spans="1:7">
      <c r="A46" s="13" t="s">
        <v>17</v>
      </c>
      <c r="B46" s="16" t="s">
        <v>88</v>
      </c>
      <c r="C46" s="5">
        <v>6299</v>
      </c>
      <c r="D46" s="8">
        <v>47.78536275599301</v>
      </c>
      <c r="E46" s="7">
        <v>0.8760412763930784</v>
      </c>
      <c r="F46" s="7">
        <v>0.9370722999107408</v>
      </c>
      <c r="G46" s="8">
        <v>72</v>
      </c>
    </row>
    <row r="47" spans="1:7">
      <c r="A47" s="13" t="s">
        <v>17</v>
      </c>
      <c r="B47" s="16" t="s">
        <v>89</v>
      </c>
      <c r="C47" s="5">
        <v>6243</v>
      </c>
      <c r="D47" s="8">
        <v>51.89812590100913</v>
      </c>
      <c r="E47" s="7">
        <v>0.8868529553099472</v>
      </c>
      <c r="F47" s="7">
        <v>0.8902039070298018</v>
      </c>
      <c r="G47" s="8">
        <v>75.89999999999999</v>
      </c>
    </row>
    <row r="48" spans="1:7">
      <c r="A48" s="13" t="s">
        <v>17</v>
      </c>
      <c r="B48" s="16" t="s">
        <v>90</v>
      </c>
      <c r="C48" s="5">
        <v>5352</v>
      </c>
      <c r="D48" s="8">
        <v>57.17488789237668</v>
      </c>
      <c r="E48" s="7">
        <v>0.90135855754858</v>
      </c>
      <c r="F48" s="7">
        <v>0.9281997918834547</v>
      </c>
      <c r="G48" s="8">
        <v>74.5</v>
      </c>
    </row>
    <row r="49" spans="1:7">
      <c r="A49" s="13" t="s">
        <v>17</v>
      </c>
      <c r="B49" s="16" t="s">
        <v>91</v>
      </c>
      <c r="C49" s="5">
        <v>5108</v>
      </c>
      <c r="D49" s="8">
        <v>52.07517619420517</v>
      </c>
      <c r="E49" s="7">
        <v>0.8774718089271729</v>
      </c>
      <c r="F49" s="7">
        <v>0.9338208409506399</v>
      </c>
      <c r="G49" s="8">
        <v>136.1</v>
      </c>
    </row>
    <row r="50" spans="1:7">
      <c r="A50" s="13" t="s">
        <v>17</v>
      </c>
      <c r="B50" s="16" t="s">
        <v>92</v>
      </c>
      <c r="C50" s="5">
        <v>6602</v>
      </c>
      <c r="D50" s="8">
        <v>52.86276885792184</v>
      </c>
      <c r="E50" s="7">
        <v>0.8829515298394426</v>
      </c>
      <c r="F50" s="7">
        <v>0.9010509076020199</v>
      </c>
      <c r="G50" s="8">
        <v>86.10000000000001</v>
      </c>
    </row>
    <row r="51" spans="1:7">
      <c r="A51" s="13" t="s">
        <v>15</v>
      </c>
      <c r="B51" s="16" t="s">
        <v>87</v>
      </c>
      <c r="C51" s="5">
        <v>5828</v>
      </c>
      <c r="D51" s="8">
        <v>35.17501715854496</v>
      </c>
      <c r="E51" s="7">
        <v>0.9304715168153741</v>
      </c>
      <c r="F51" s="7">
        <v>0.9513548808357819</v>
      </c>
      <c r="G51" s="8">
        <v>91.7</v>
      </c>
    </row>
    <row r="52" spans="1:7">
      <c r="A52" s="13" t="s">
        <v>15</v>
      </c>
      <c r="B52" s="16" t="s">
        <v>88</v>
      </c>
      <c r="C52" s="5">
        <v>7661</v>
      </c>
      <c r="D52" s="8">
        <v>38.50672236000522</v>
      </c>
      <c r="E52" s="7">
        <v>0.9217590392899099</v>
      </c>
      <c r="F52" s="7">
        <v>0.9479089334323187</v>
      </c>
      <c r="G52" s="8">
        <v>82.5</v>
      </c>
    </row>
    <row r="53" spans="1:7">
      <c r="A53" s="13" t="s">
        <v>15</v>
      </c>
      <c r="B53" s="16" t="s">
        <v>89</v>
      </c>
      <c r="C53" s="5">
        <v>6250</v>
      </c>
      <c r="D53" s="8">
        <v>34.72</v>
      </c>
      <c r="E53" s="7">
        <v>0.9141007999999999</v>
      </c>
      <c r="F53" s="7">
        <v>0.9432538484757018</v>
      </c>
      <c r="G53" s="8">
        <v>88.19999999999999</v>
      </c>
    </row>
    <row r="54" spans="1:7">
      <c r="A54" s="13" t="s">
        <v>15</v>
      </c>
      <c r="B54" s="16" t="s">
        <v>90</v>
      </c>
      <c r="C54" s="5">
        <v>6855</v>
      </c>
      <c r="D54" s="8">
        <v>48.7235594456601</v>
      </c>
      <c r="E54" s="7">
        <v>0.9008897155361051</v>
      </c>
      <c r="F54" s="7">
        <v>0.9466924457947797</v>
      </c>
      <c r="G54" s="8">
        <v>82.3</v>
      </c>
    </row>
    <row r="55" spans="1:7">
      <c r="A55" s="13" t="s">
        <v>15</v>
      </c>
      <c r="B55" s="16" t="s">
        <v>91</v>
      </c>
      <c r="C55" s="5">
        <v>6947</v>
      </c>
      <c r="D55" s="8">
        <v>46.06304879804232</v>
      </c>
      <c r="E55" s="7">
        <v>0.8831678422340578</v>
      </c>
      <c r="F55" s="7">
        <v>0.9419661016949152</v>
      </c>
      <c r="G55" s="8">
        <v>103.5</v>
      </c>
    </row>
    <row r="56" spans="1:7">
      <c r="A56" s="13" t="s">
        <v>15</v>
      </c>
      <c r="B56" s="16" t="s">
        <v>92</v>
      </c>
      <c r="C56" s="5">
        <v>5749</v>
      </c>
      <c r="D56" s="8">
        <v>49.5738389285093</v>
      </c>
      <c r="E56" s="7">
        <v>0.8556428944164202</v>
      </c>
      <c r="F56" s="7">
        <v>0.9466491025852133</v>
      </c>
      <c r="G56" s="8">
        <v>132</v>
      </c>
    </row>
  </sheetData>
  <mergeCells count="1">
    <mergeCell ref="A18:L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75B6"/>
  </sheetPr>
  <dimension ref="A1:L44"/>
  <sheetViews>
    <sheetView showGridLines="0" workbookViewId="0"/>
  </sheetViews>
  <sheetFormatPr defaultRowHeight="15"/>
  <cols>
    <col min="1" max="1" width="16.7109375" customWidth="1"/>
  </cols>
  <sheetData>
    <row r="1" spans="1:12">
      <c r="A1" s="1" t="s">
        <v>93</v>
      </c>
    </row>
    <row r="2" spans="1:12">
      <c r="A2" s="2" t="s">
        <v>94</v>
      </c>
    </row>
    <row r="4" spans="1:12">
      <c r="A4" s="10" t="s">
        <v>95</v>
      </c>
    </row>
    <row r="5" spans="1:12">
      <c r="A5" s="3" t="s">
        <v>81</v>
      </c>
      <c r="B5" s="4" t="s">
        <v>96</v>
      </c>
    </row>
    <row r="6" spans="1:12">
      <c r="A6" s="16" t="s">
        <v>87</v>
      </c>
      <c r="B6" s="7">
        <v>0.751799</v>
      </c>
    </row>
    <row r="7" spans="1:12">
      <c r="A7" s="16" t="s">
        <v>88</v>
      </c>
      <c r="B7" s="7">
        <v>0.760838</v>
      </c>
    </row>
    <row r="8" spans="1:12">
      <c r="A8" s="16" t="s">
        <v>89</v>
      </c>
      <c r="B8" s="7">
        <v>0.761421</v>
      </c>
    </row>
    <row r="9" spans="1:12">
      <c r="A9" s="16" t="s">
        <v>90</v>
      </c>
      <c r="B9" s="7">
        <v>0.7568210000000001</v>
      </c>
    </row>
    <row r="10" spans="1:12">
      <c r="A10" s="16" t="s">
        <v>91</v>
      </c>
      <c r="B10" s="7">
        <v>0.760561</v>
      </c>
    </row>
    <row r="11" spans="1:12">
      <c r="A11" s="16" t="s">
        <v>92</v>
      </c>
      <c r="B11" s="7">
        <v>0.7586499999999999</v>
      </c>
    </row>
    <row r="12" spans="1:12">
      <c r="A12" s="6" t="s">
        <v>97</v>
      </c>
      <c r="B12" s="17">
        <v>0.7583483333333334</v>
      </c>
    </row>
    <row r="14" spans="1:12">
      <c r="A14" s="10" t="s">
        <v>98</v>
      </c>
      <c r="L14" s="12" t="s">
        <v>99</v>
      </c>
    </row>
    <row r="15" spans="1:12">
      <c r="A15" s="3" t="s">
        <v>3</v>
      </c>
      <c r="B15" s="4" t="s">
        <v>100</v>
      </c>
      <c r="C15" s="4" t="s">
        <v>101</v>
      </c>
      <c r="D15" s="4" t="s">
        <v>102</v>
      </c>
      <c r="E15" s="4" t="s">
        <v>103</v>
      </c>
    </row>
    <row r="16" spans="1:12">
      <c r="A16" s="6" t="s">
        <v>16</v>
      </c>
      <c r="B16" s="7">
        <v>0.9445687929272945</v>
      </c>
      <c r="C16" s="7">
        <v>0.7583483333333334</v>
      </c>
      <c r="D16" s="18">
        <v>0.1862204595939611</v>
      </c>
      <c r="E16" s="19" t="s">
        <v>104</v>
      </c>
    </row>
    <row r="17" spans="1:12">
      <c r="A17" s="6" t="s">
        <v>14</v>
      </c>
      <c r="B17" s="7">
        <v>0.9963545651517002</v>
      </c>
      <c r="C17" s="7">
        <v>0.7583483333333334</v>
      </c>
      <c r="D17" s="18">
        <v>0.2380062318183668</v>
      </c>
      <c r="E17" s="19" t="s">
        <v>105</v>
      </c>
    </row>
    <row r="18" spans="1:12">
      <c r="A18" s="6" t="s">
        <v>17</v>
      </c>
      <c r="B18" s="7">
        <v>0.9119379561273251</v>
      </c>
      <c r="C18" s="7">
        <v>0.7583483333333334</v>
      </c>
      <c r="D18" s="18">
        <v>0.1535896227939918</v>
      </c>
      <c r="E18" s="19" t="s">
        <v>106</v>
      </c>
    </row>
    <row r="19" spans="1:12">
      <c r="A19" s="6" t="s">
        <v>15</v>
      </c>
      <c r="B19" s="7">
        <v>0.9464233718334465</v>
      </c>
      <c r="C19" s="7">
        <v>0.7583483333333334</v>
      </c>
      <c r="D19" s="18">
        <v>0.1880750385001131</v>
      </c>
      <c r="E19" s="19" t="s">
        <v>107</v>
      </c>
    </row>
    <row r="21" spans="1:12">
      <c r="A21" s="10" t="s">
        <v>108</v>
      </c>
      <c r="E21" s="12" t="s">
        <v>109</v>
      </c>
      <c r="F21" s="12"/>
      <c r="G21" s="12"/>
      <c r="H21" s="12"/>
      <c r="I21" s="12"/>
      <c r="J21" s="12"/>
      <c r="K21" s="12"/>
      <c r="L21" s="12"/>
    </row>
    <row r="22" spans="1:12">
      <c r="A22" s="3" t="s">
        <v>110</v>
      </c>
      <c r="B22" s="4" t="s">
        <v>111</v>
      </c>
    </row>
    <row r="23" spans="1:12">
      <c r="A23" s="13" t="s">
        <v>112</v>
      </c>
      <c r="B23" s="15">
        <v>1.598</v>
      </c>
    </row>
    <row r="24" spans="1:12">
      <c r="A24" s="13" t="s">
        <v>113</v>
      </c>
      <c r="B24" s="15">
        <v>2.7088</v>
      </c>
    </row>
    <row r="25" spans="1:12">
      <c r="A25" s="13" t="s">
        <v>114</v>
      </c>
      <c r="B25" s="15">
        <v>3.9045</v>
      </c>
    </row>
    <row r="26" spans="1:12">
      <c r="A26" s="3" t="s">
        <v>3</v>
      </c>
      <c r="B26" s="4" t="s">
        <v>115</v>
      </c>
      <c r="C26" s="4" t="s">
        <v>83</v>
      </c>
      <c r="D26" s="4" t="s">
        <v>116</v>
      </c>
      <c r="E26" s="4" t="s">
        <v>117</v>
      </c>
    </row>
    <row r="27" spans="1:12">
      <c r="A27" s="6" t="s">
        <v>16</v>
      </c>
      <c r="B27" s="7">
        <v>0.04045949214026602</v>
      </c>
      <c r="C27" s="8">
        <v>40.45949214026602</v>
      </c>
      <c r="D27" s="7">
        <v>0.7805555555555556</v>
      </c>
      <c r="E27" s="14" t="s">
        <v>118</v>
      </c>
    </row>
    <row r="28" spans="1:12">
      <c r="A28" s="6" t="s">
        <v>14</v>
      </c>
      <c r="B28" s="7">
        <v>0.01875240924242081</v>
      </c>
      <c r="C28" s="8">
        <v>18.75240924242081</v>
      </c>
      <c r="D28" s="7">
        <v>0.3083333333333333</v>
      </c>
      <c r="E28" s="13" t="s">
        <v>119</v>
      </c>
    </row>
    <row r="29" spans="1:12">
      <c r="A29" s="6" t="s">
        <v>17</v>
      </c>
      <c r="B29" s="7">
        <v>0.05468536811657479</v>
      </c>
      <c r="C29" s="8">
        <v>54.6853681165748</v>
      </c>
      <c r="D29" s="7">
        <v>1</v>
      </c>
      <c r="E29" s="14" t="s">
        <v>118</v>
      </c>
    </row>
    <row r="30" spans="1:12">
      <c r="A30" s="6" t="s">
        <v>15</v>
      </c>
      <c r="B30" s="7">
        <v>0.042148129294986</v>
      </c>
      <c r="C30" s="8">
        <v>42.148129294986</v>
      </c>
      <c r="D30" s="7">
        <v>0.8138888888888889</v>
      </c>
      <c r="E30" s="14" t="s">
        <v>118</v>
      </c>
    </row>
    <row r="32" spans="1:12">
      <c r="A32" s="10" t="s">
        <v>120</v>
      </c>
    </row>
    <row r="33" spans="1:11">
      <c r="A33" s="3" t="s">
        <v>110</v>
      </c>
      <c r="B33" s="4" t="s">
        <v>111</v>
      </c>
    </row>
    <row r="34" spans="1:11">
      <c r="A34" s="13" t="s">
        <v>112</v>
      </c>
      <c r="B34" s="15">
        <v>1.2646</v>
      </c>
    </row>
    <row r="35" spans="1:11">
      <c r="A35" s="13" t="s">
        <v>113</v>
      </c>
      <c r="B35" s="15">
        <v>2.4652</v>
      </c>
    </row>
    <row r="36" spans="1:11">
      <c r="A36" s="13" t="s">
        <v>114</v>
      </c>
      <c r="B36" s="15">
        <v>3.7749</v>
      </c>
    </row>
    <row r="37" spans="1:11">
      <c r="A37" s="3" t="s">
        <v>3</v>
      </c>
      <c r="B37" s="4" t="s">
        <v>121</v>
      </c>
      <c r="C37" s="4" t="s">
        <v>116</v>
      </c>
      <c r="D37" s="4" t="s">
        <v>117</v>
      </c>
    </row>
    <row r="38" spans="1:11">
      <c r="A38" s="6" t="s">
        <v>16</v>
      </c>
      <c r="B38" s="7">
        <v>0.04441706272369888</v>
      </c>
      <c r="C38" s="7">
        <v>0.8839506172839506</v>
      </c>
      <c r="D38" s="14" t="s">
        <v>118</v>
      </c>
    </row>
    <row r="39" spans="1:11">
      <c r="A39" s="6" t="s">
        <v>14</v>
      </c>
      <c r="B39" s="7">
        <v>0.01965755392089521</v>
      </c>
      <c r="C39" s="7">
        <v>0.4027777777777778</v>
      </c>
      <c r="D39" s="13" t="s">
        <v>119</v>
      </c>
    </row>
    <row r="40" spans="1:11">
      <c r="A40" s="6" t="s">
        <v>17</v>
      </c>
      <c r="B40" s="7">
        <v>0.03734572848212855</v>
      </c>
      <c r="C40" s="7">
        <v>0.7416666666666667</v>
      </c>
      <c r="D40" s="13" t="s">
        <v>122</v>
      </c>
    </row>
    <row r="41" spans="1:11">
      <c r="A41" s="6" t="s">
        <v>15</v>
      </c>
      <c r="B41" s="7">
        <v>0.04003118596355658</v>
      </c>
      <c r="C41" s="7">
        <v>0.7984567901234568</v>
      </c>
      <c r="D41" s="14" t="s">
        <v>118</v>
      </c>
    </row>
    <row r="43" spans="1:11">
      <c r="A43" s="12" t="s">
        <v>123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>
      <c r="A44" s="12" t="s">
        <v>124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</row>
  </sheetData>
  <mergeCells count="3">
    <mergeCell ref="E21:L21"/>
    <mergeCell ref="A43:K43"/>
    <mergeCell ref="A44:K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F8F00"/>
  </sheetPr>
  <dimension ref="A1:J49"/>
  <sheetViews>
    <sheetView showGridLines="0" workbookViewId="0"/>
  </sheetViews>
  <sheetFormatPr defaultRowHeight="15"/>
  <cols>
    <col min="1" max="1" width="16.7109375" customWidth="1"/>
  </cols>
  <sheetData>
    <row r="1" spans="1:9">
      <c r="A1" s="1" t="s">
        <v>125</v>
      </c>
    </row>
    <row r="2" spans="1:9">
      <c r="A2" s="2" t="s">
        <v>126</v>
      </c>
    </row>
    <row r="4" spans="1:9">
      <c r="A4" s="3" t="s">
        <v>3</v>
      </c>
      <c r="B4" s="4" t="s">
        <v>81</v>
      </c>
      <c r="C4" s="4" t="s">
        <v>19</v>
      </c>
      <c r="D4" s="4" t="s">
        <v>127</v>
      </c>
      <c r="E4" s="4" t="s">
        <v>128</v>
      </c>
      <c r="F4" s="4" t="s">
        <v>129</v>
      </c>
      <c r="G4" s="4" t="s">
        <v>130</v>
      </c>
      <c r="H4" s="4" t="s">
        <v>86</v>
      </c>
      <c r="I4" s="4" t="s">
        <v>131</v>
      </c>
    </row>
    <row r="5" spans="1:9">
      <c r="A5" s="6" t="s">
        <v>16</v>
      </c>
      <c r="B5" s="16" t="s">
        <v>87</v>
      </c>
      <c r="C5" s="5">
        <v>6792</v>
      </c>
      <c r="D5" s="5">
        <v>7</v>
      </c>
      <c r="E5" s="15">
        <v>1.030624263839812</v>
      </c>
      <c r="F5" s="5">
        <v>2245.288574793875</v>
      </c>
      <c r="G5" s="15">
        <v>2.714285714285714</v>
      </c>
      <c r="H5" s="8">
        <v>133</v>
      </c>
      <c r="I5" s="7">
        <v>0.05074399084318962</v>
      </c>
    </row>
    <row r="6" spans="1:9">
      <c r="A6" s="6" t="s">
        <v>16</v>
      </c>
      <c r="B6" s="16" t="s">
        <v>88</v>
      </c>
      <c r="C6" s="5">
        <v>6336</v>
      </c>
      <c r="D6" s="5">
        <v>2</v>
      </c>
      <c r="E6" s="15">
        <v>0.3156565656565657</v>
      </c>
      <c r="F6" s="5">
        <v>828.5984848484849</v>
      </c>
      <c r="G6" s="15">
        <v>2.5</v>
      </c>
      <c r="H6" s="8">
        <v>144</v>
      </c>
      <c r="I6" s="7">
        <v>0.05628957860996012</v>
      </c>
    </row>
    <row r="7" spans="1:9">
      <c r="A7" s="6" t="s">
        <v>16</v>
      </c>
      <c r="B7" s="16" t="s">
        <v>89</v>
      </c>
      <c r="C7" s="5">
        <v>7501</v>
      </c>
      <c r="D7" s="5">
        <v>2</v>
      </c>
      <c r="E7" s="15">
        <v>0.2666311158512198</v>
      </c>
      <c r="F7" s="5">
        <v>666.5777896280496</v>
      </c>
      <c r="G7" s="15">
        <v>3</v>
      </c>
      <c r="H7" s="8">
        <v>139.1</v>
      </c>
      <c r="I7" s="7">
        <v>0.04192158162804014</v>
      </c>
    </row>
    <row r="8" spans="1:9">
      <c r="A8" s="6" t="s">
        <v>16</v>
      </c>
      <c r="B8" s="16" t="s">
        <v>90</v>
      </c>
      <c r="C8" s="5">
        <v>7878</v>
      </c>
      <c r="D8" s="5">
        <v>1</v>
      </c>
      <c r="E8" s="15">
        <v>0.1269357705001269</v>
      </c>
      <c r="F8" s="5">
        <v>317.3394262503173</v>
      </c>
      <c r="G8" s="15">
        <v>3</v>
      </c>
      <c r="H8" s="8">
        <v>142.3</v>
      </c>
      <c r="I8" s="7">
        <v>0.04527521476296532</v>
      </c>
    </row>
    <row r="9" spans="1:9">
      <c r="A9" s="6" t="s">
        <v>16</v>
      </c>
      <c r="B9" s="16" t="s">
        <v>91</v>
      </c>
      <c r="C9" s="5">
        <v>6307</v>
      </c>
      <c r="D9" s="5">
        <v>0</v>
      </c>
      <c r="E9" s="15">
        <v>0</v>
      </c>
      <c r="F9" s="5">
        <v>0</v>
      </c>
      <c r="G9" s="15">
        <v>0</v>
      </c>
      <c r="H9" s="8">
        <v>108.2</v>
      </c>
      <c r="I9" s="7">
        <v>0.03968021123661435</v>
      </c>
    </row>
    <row r="10" spans="1:9">
      <c r="A10" s="6" t="s">
        <v>16</v>
      </c>
      <c r="B10" s="16" t="s">
        <v>92</v>
      </c>
      <c r="C10" s="5">
        <v>6536</v>
      </c>
      <c r="D10" s="5">
        <v>3</v>
      </c>
      <c r="E10" s="15">
        <v>0.4589963280293758</v>
      </c>
      <c r="F10" s="5">
        <v>688.4944920440637</v>
      </c>
      <c r="G10" s="15">
        <v>2.333333333333333</v>
      </c>
      <c r="H10" s="8">
        <v>90.40000000000001</v>
      </c>
      <c r="I10" s="7">
        <v>0.03378302627153481</v>
      </c>
    </row>
    <row r="11" spans="1:9">
      <c r="A11" s="6" t="s">
        <v>14</v>
      </c>
      <c r="B11" s="16" t="s">
        <v>87</v>
      </c>
      <c r="C11" s="5">
        <v>6578</v>
      </c>
      <c r="D11" s="5">
        <v>3</v>
      </c>
      <c r="E11" s="15">
        <v>0.4560656734569778</v>
      </c>
      <c r="F11" s="5">
        <v>342.0492550927333</v>
      </c>
      <c r="G11" s="15">
        <v>1.666666666666667</v>
      </c>
      <c r="H11" s="8">
        <v>53.5</v>
      </c>
      <c r="I11" s="7">
        <v>0.02217984329007918</v>
      </c>
    </row>
    <row r="12" spans="1:9">
      <c r="A12" s="6" t="s">
        <v>14</v>
      </c>
      <c r="B12" s="16" t="s">
        <v>88</v>
      </c>
      <c r="C12" s="5">
        <v>6572</v>
      </c>
      <c r="D12" s="5">
        <v>2</v>
      </c>
      <c r="E12" s="15">
        <v>0.3043213633597078</v>
      </c>
      <c r="F12" s="5">
        <v>304.3213633597078</v>
      </c>
      <c r="G12" s="15">
        <v>2</v>
      </c>
      <c r="H12" s="8">
        <v>64</v>
      </c>
      <c r="I12" s="7">
        <v>0.02681189777963972</v>
      </c>
    </row>
    <row r="13" spans="1:9">
      <c r="A13" s="6" t="s">
        <v>14</v>
      </c>
      <c r="B13" s="16" t="s">
        <v>89</v>
      </c>
      <c r="C13" s="5">
        <v>6860</v>
      </c>
      <c r="D13" s="5">
        <v>0</v>
      </c>
      <c r="E13" s="15">
        <v>0</v>
      </c>
      <c r="F13" s="5">
        <v>0</v>
      </c>
      <c r="G13" s="15">
        <v>0</v>
      </c>
      <c r="H13" s="8">
        <v>57.8</v>
      </c>
      <c r="I13" s="7">
        <v>0.02518189343440944</v>
      </c>
    </row>
    <row r="14" spans="1:9">
      <c r="A14" s="6" t="s">
        <v>14</v>
      </c>
      <c r="B14" s="16" t="s">
        <v>90</v>
      </c>
      <c r="C14" s="5">
        <v>7722</v>
      </c>
      <c r="D14" s="5">
        <v>1</v>
      </c>
      <c r="E14" s="15">
        <v>0.1295001295001295</v>
      </c>
      <c r="F14" s="5">
        <v>129.5001295001295</v>
      </c>
      <c r="G14" s="15">
        <v>2</v>
      </c>
      <c r="H14" s="8">
        <v>49.3</v>
      </c>
      <c r="I14" s="7">
        <v>0.0188017238091606</v>
      </c>
    </row>
    <row r="15" spans="1:9">
      <c r="A15" s="6" t="s">
        <v>14</v>
      </c>
      <c r="B15" s="16" t="s">
        <v>91</v>
      </c>
      <c r="C15" s="5">
        <v>8664</v>
      </c>
      <c r="D15" s="5">
        <v>2</v>
      </c>
      <c r="E15" s="15">
        <v>0.2308402585410896</v>
      </c>
      <c r="F15" s="5">
        <v>144.275161588181</v>
      </c>
      <c r="G15" s="15">
        <v>1.5</v>
      </c>
      <c r="H15" s="8">
        <v>43.8</v>
      </c>
      <c r="I15" s="7">
        <v>0.0130625391428827</v>
      </c>
    </row>
    <row r="16" spans="1:9">
      <c r="A16" s="6" t="s">
        <v>14</v>
      </c>
      <c r="B16" s="16" t="s">
        <v>92</v>
      </c>
      <c r="C16" s="5">
        <v>7705</v>
      </c>
      <c r="D16" s="5">
        <v>0</v>
      </c>
      <c r="E16" s="15">
        <v>0</v>
      </c>
      <c r="F16" s="5">
        <v>0</v>
      </c>
      <c r="G16" s="15">
        <v>0</v>
      </c>
      <c r="H16" s="8">
        <v>46.4</v>
      </c>
      <c r="I16" s="7">
        <v>0.01575765808598791</v>
      </c>
    </row>
    <row r="17" spans="1:10">
      <c r="A17" s="6" t="s">
        <v>17</v>
      </c>
      <c r="B17" s="16" t="s">
        <v>87</v>
      </c>
      <c r="C17" s="5">
        <v>7042</v>
      </c>
      <c r="D17" s="5">
        <v>4</v>
      </c>
      <c r="E17" s="15">
        <v>0.5680204487361545</v>
      </c>
      <c r="F17" s="5">
        <v>1562.056234024425</v>
      </c>
      <c r="G17" s="15">
        <v>3</v>
      </c>
      <c r="H17" s="8">
        <v>68</v>
      </c>
      <c r="I17" s="7">
        <v>0.02530232558139535</v>
      </c>
    </row>
    <row r="18" spans="1:10">
      <c r="A18" s="6" t="s">
        <v>17</v>
      </c>
      <c r="B18" s="16" t="s">
        <v>88</v>
      </c>
      <c r="C18" s="5">
        <v>6299</v>
      </c>
      <c r="D18" s="5">
        <v>0</v>
      </c>
      <c r="E18" s="15">
        <v>0</v>
      </c>
      <c r="F18" s="5">
        <v>0</v>
      </c>
      <c r="G18" s="15">
        <v>0</v>
      </c>
      <c r="H18" s="8">
        <v>72</v>
      </c>
      <c r="I18" s="7">
        <v>0.03522849593893727</v>
      </c>
    </row>
    <row r="19" spans="1:10">
      <c r="A19" s="6" t="s">
        <v>17</v>
      </c>
      <c r="B19" s="16" t="s">
        <v>89</v>
      </c>
      <c r="C19" s="5">
        <v>6243</v>
      </c>
      <c r="D19" s="5">
        <v>3</v>
      </c>
      <c r="E19" s="15">
        <v>0.4805382027871216</v>
      </c>
      <c r="F19" s="5">
        <v>1121.255806503284</v>
      </c>
      <c r="G19" s="15">
        <v>2.666666666666667</v>
      </c>
      <c r="H19" s="8">
        <v>75.90000000000001</v>
      </c>
      <c r="I19" s="7">
        <v>0.0297542043984476</v>
      </c>
    </row>
    <row r="20" spans="1:10">
      <c r="A20" s="6" t="s">
        <v>17</v>
      </c>
      <c r="B20" s="16" t="s">
        <v>90</v>
      </c>
      <c r="C20" s="5">
        <v>5352</v>
      </c>
      <c r="D20" s="5">
        <v>2</v>
      </c>
      <c r="E20" s="15">
        <v>0.3736920777279522</v>
      </c>
      <c r="F20" s="5">
        <v>1121.076233183856</v>
      </c>
      <c r="G20" s="15">
        <v>3</v>
      </c>
      <c r="H20" s="8">
        <v>74.5</v>
      </c>
      <c r="I20" s="7">
        <v>0.02874561098892619</v>
      </c>
    </row>
    <row r="21" spans="1:10">
      <c r="A21" s="6" t="s">
        <v>17</v>
      </c>
      <c r="B21" s="16" t="s">
        <v>91</v>
      </c>
      <c r="C21" s="5">
        <v>5108</v>
      </c>
      <c r="D21" s="5">
        <v>5</v>
      </c>
      <c r="E21" s="15">
        <v>0.9788566953797965</v>
      </c>
      <c r="F21" s="5">
        <v>2838.68441660141</v>
      </c>
      <c r="G21" s="15">
        <v>3</v>
      </c>
      <c r="H21" s="8">
        <v>136.1</v>
      </c>
      <c r="I21" s="7">
        <v>0.07815550706328243</v>
      </c>
    </row>
    <row r="22" spans="1:10">
      <c r="A22" s="6" t="s">
        <v>17</v>
      </c>
      <c r="B22" s="16" t="s">
        <v>92</v>
      </c>
      <c r="C22" s="5">
        <v>6602</v>
      </c>
      <c r="D22" s="5">
        <v>4</v>
      </c>
      <c r="E22" s="15">
        <v>0.6058770069675856</v>
      </c>
      <c r="F22" s="5">
        <v>1704.029082096334</v>
      </c>
      <c r="G22" s="15">
        <v>2.75</v>
      </c>
      <c r="H22" s="8">
        <v>86.10000000000001</v>
      </c>
      <c r="I22" s="7">
        <v>0.04079601990049752</v>
      </c>
    </row>
    <row r="23" spans="1:10">
      <c r="A23" s="6" t="s">
        <v>15</v>
      </c>
      <c r="B23" s="16" t="s">
        <v>87</v>
      </c>
      <c r="C23" s="5">
        <v>5828</v>
      </c>
      <c r="D23" s="5">
        <v>1</v>
      </c>
      <c r="E23" s="15">
        <v>0.1715854495538778</v>
      </c>
      <c r="F23" s="5">
        <v>428.9636238846946</v>
      </c>
      <c r="G23" s="15">
        <v>3</v>
      </c>
      <c r="H23" s="8">
        <v>91.7</v>
      </c>
      <c r="I23" s="7">
        <v>0.04544328262054611</v>
      </c>
    </row>
    <row r="24" spans="1:10">
      <c r="A24" s="6" t="s">
        <v>15</v>
      </c>
      <c r="B24" s="16" t="s">
        <v>88</v>
      </c>
      <c r="C24" s="5">
        <v>7661</v>
      </c>
      <c r="D24" s="5">
        <v>3</v>
      </c>
      <c r="E24" s="15">
        <v>0.3915937867119175</v>
      </c>
      <c r="F24" s="5">
        <v>783.187573423835</v>
      </c>
      <c r="G24" s="15">
        <v>2.666666666666667</v>
      </c>
      <c r="H24" s="8">
        <v>82.5</v>
      </c>
      <c r="I24" s="7">
        <v>0.02672151324739263</v>
      </c>
    </row>
    <row r="25" spans="1:10">
      <c r="A25" s="6" t="s">
        <v>15</v>
      </c>
      <c r="B25" s="16" t="s">
        <v>89</v>
      </c>
      <c r="C25" s="5">
        <v>6250</v>
      </c>
      <c r="D25" s="5">
        <v>3</v>
      </c>
      <c r="E25" s="15">
        <v>0.48</v>
      </c>
      <c r="F25" s="5">
        <v>600</v>
      </c>
      <c r="G25" s="15">
        <v>2</v>
      </c>
      <c r="H25" s="8">
        <v>88.2</v>
      </c>
      <c r="I25" s="7">
        <v>0.03924011211460604</v>
      </c>
    </row>
    <row r="26" spans="1:10">
      <c r="A26" s="6" t="s">
        <v>15</v>
      </c>
      <c r="B26" s="16" t="s">
        <v>90</v>
      </c>
      <c r="C26" s="5">
        <v>6855</v>
      </c>
      <c r="D26" s="5">
        <v>5</v>
      </c>
      <c r="E26" s="15">
        <v>0.7293946024799417</v>
      </c>
      <c r="F26" s="5">
        <v>1531.728665207877</v>
      </c>
      <c r="G26" s="15">
        <v>2.6</v>
      </c>
      <c r="H26" s="8">
        <v>82.3</v>
      </c>
      <c r="I26" s="7">
        <v>0.03719942144277706</v>
      </c>
    </row>
    <row r="27" spans="1:10">
      <c r="A27" s="6" t="s">
        <v>15</v>
      </c>
      <c r="B27" s="16" t="s">
        <v>91</v>
      </c>
      <c r="C27" s="5">
        <v>6947</v>
      </c>
      <c r="D27" s="5">
        <v>6</v>
      </c>
      <c r="E27" s="15">
        <v>0.8636821649632935</v>
      </c>
      <c r="F27" s="5">
        <v>2375.125953649057</v>
      </c>
      <c r="G27" s="15">
        <v>2.666666666666667</v>
      </c>
      <c r="H27" s="8">
        <v>103.5</v>
      </c>
      <c r="I27" s="7">
        <v>0.03510497574873656</v>
      </c>
    </row>
    <row r="28" spans="1:10">
      <c r="A28" s="6" t="s">
        <v>15</v>
      </c>
      <c r="B28" s="16" t="s">
        <v>92</v>
      </c>
      <c r="C28" s="5">
        <v>5749</v>
      </c>
      <c r="D28" s="5">
        <v>2</v>
      </c>
      <c r="E28" s="15">
        <v>0.3478865889719951</v>
      </c>
      <c r="F28" s="5">
        <v>1304.574708644982</v>
      </c>
      <c r="G28" s="15">
        <v>3.5</v>
      </c>
      <c r="H28" s="8">
        <v>132</v>
      </c>
      <c r="I28" s="7">
        <v>0.06666666666666667</v>
      </c>
    </row>
    <row r="30" spans="1:10">
      <c r="A30" s="10" t="s">
        <v>132</v>
      </c>
    </row>
    <row r="31" spans="1:10">
      <c r="A31" s="3" t="s">
        <v>3</v>
      </c>
      <c r="B31" s="4" t="s">
        <v>133</v>
      </c>
      <c r="C31" s="4" t="s">
        <v>134</v>
      </c>
      <c r="D31" s="4" t="s">
        <v>135</v>
      </c>
      <c r="E31" s="4" t="s">
        <v>136</v>
      </c>
      <c r="F31" s="4" t="s">
        <v>137</v>
      </c>
      <c r="G31" s="4" t="s">
        <v>138</v>
      </c>
      <c r="H31" s="4" t="s">
        <v>139</v>
      </c>
      <c r="I31" s="4" t="s">
        <v>140</v>
      </c>
      <c r="J31" s="4" t="s">
        <v>141</v>
      </c>
    </row>
    <row r="32" spans="1:10">
      <c r="A32" s="6" t="s">
        <v>16</v>
      </c>
      <c r="B32" s="5">
        <v>2</v>
      </c>
      <c r="C32" s="5">
        <v>2</v>
      </c>
      <c r="D32" s="5">
        <v>10</v>
      </c>
      <c r="E32" s="5">
        <v>1</v>
      </c>
      <c r="F32" s="5">
        <v>15</v>
      </c>
      <c r="G32" s="15">
        <v>0.3627569528415961</v>
      </c>
      <c r="H32" s="11">
        <v>32500</v>
      </c>
      <c r="I32" s="8">
        <v>10.53333333333333</v>
      </c>
      <c r="J32" s="5">
        <v>2</v>
      </c>
    </row>
    <row r="33" spans="1:10">
      <c r="A33" s="6" t="s">
        <v>14</v>
      </c>
      <c r="B33" s="5">
        <v>2</v>
      </c>
      <c r="C33" s="5">
        <v>6</v>
      </c>
      <c r="D33" s="5">
        <v>0</v>
      </c>
      <c r="E33" s="5">
        <v>0</v>
      </c>
      <c r="F33" s="5">
        <v>8</v>
      </c>
      <c r="G33" s="15">
        <v>0.1814017822725108</v>
      </c>
      <c r="H33" s="11">
        <v>6500</v>
      </c>
      <c r="I33" s="8">
        <v>3.5</v>
      </c>
      <c r="J33" s="5">
        <v>2</v>
      </c>
    </row>
    <row r="34" spans="1:10">
      <c r="A34" s="6" t="s">
        <v>17</v>
      </c>
      <c r="B34" s="5">
        <v>1</v>
      </c>
      <c r="C34" s="5">
        <v>7</v>
      </c>
      <c r="D34" s="5">
        <v>3</v>
      </c>
      <c r="E34" s="5">
        <v>7</v>
      </c>
      <c r="F34" s="5">
        <v>18</v>
      </c>
      <c r="G34" s="15">
        <v>0.4911859411668394</v>
      </c>
      <c r="H34" s="11">
        <v>49750</v>
      </c>
      <c r="I34" s="8">
        <v>14.11111111111111</v>
      </c>
      <c r="J34" s="5">
        <v>4</v>
      </c>
    </row>
    <row r="35" spans="1:10">
      <c r="A35" s="6" t="s">
        <v>15</v>
      </c>
      <c r="B35" s="5">
        <v>3</v>
      </c>
      <c r="C35" s="5">
        <v>6</v>
      </c>
      <c r="D35" s="5">
        <v>6</v>
      </c>
      <c r="E35" s="5">
        <v>5</v>
      </c>
      <c r="F35" s="5">
        <v>20</v>
      </c>
      <c r="G35" s="15">
        <v>0.5090353779587682</v>
      </c>
      <c r="H35" s="11">
        <v>46750</v>
      </c>
      <c r="I35" s="8">
        <v>18.4</v>
      </c>
      <c r="J35" s="5">
        <v>2</v>
      </c>
    </row>
    <row r="36" spans="1:10">
      <c r="A36" s="6" t="s">
        <v>142</v>
      </c>
      <c r="B36" s="5">
        <v>8</v>
      </c>
      <c r="C36" s="5">
        <v>21</v>
      </c>
      <c r="D36" s="5">
        <v>19</v>
      </c>
      <c r="E36" s="5">
        <v>13</v>
      </c>
      <c r="F36" s="5">
        <v>61</v>
      </c>
      <c r="G36" s="15">
        <v>0.3779734427184346</v>
      </c>
      <c r="H36" s="11">
        <v>135500</v>
      </c>
      <c r="I36" s="8">
        <v>13.24590163934426</v>
      </c>
      <c r="J36" s="5">
        <v>10</v>
      </c>
    </row>
    <row r="38" spans="1:10">
      <c r="A38" s="10" t="s">
        <v>143</v>
      </c>
    </row>
    <row r="39" spans="1:10">
      <c r="A39" s="3" t="s">
        <v>144</v>
      </c>
      <c r="B39" s="4" t="s">
        <v>145</v>
      </c>
      <c r="C39" s="4" t="s">
        <v>146</v>
      </c>
      <c r="D39" s="4" t="s">
        <v>147</v>
      </c>
      <c r="E39" s="4" t="s">
        <v>148</v>
      </c>
    </row>
    <row r="40" spans="1:10">
      <c r="A40" s="13" t="s">
        <v>149</v>
      </c>
      <c r="B40" s="13" t="s">
        <v>150</v>
      </c>
      <c r="C40" s="20">
        <v>0.2850749582343498</v>
      </c>
      <c r="D40" s="20">
        <v>0.2331927104126449</v>
      </c>
      <c r="E40" s="13" t="s">
        <v>151</v>
      </c>
    </row>
    <row r="41" spans="1:10">
      <c r="A41" s="13" t="s">
        <v>149</v>
      </c>
      <c r="B41" s="13" t="s">
        <v>152</v>
      </c>
      <c r="C41" s="20">
        <v>0.4971826428011615</v>
      </c>
      <c r="D41" s="20">
        <v>0.5661259893895608</v>
      </c>
      <c r="E41" s="14" t="s">
        <v>153</v>
      </c>
    </row>
    <row r="42" spans="1:10">
      <c r="A42" s="13" t="s">
        <v>149</v>
      </c>
      <c r="B42" s="13" t="s">
        <v>129</v>
      </c>
      <c r="C42" s="20">
        <v>0.4577471190640087</v>
      </c>
      <c r="D42" s="20">
        <v>0.4614390036110308</v>
      </c>
      <c r="E42" s="14" t="s">
        <v>153</v>
      </c>
    </row>
    <row r="43" spans="1:10">
      <c r="A43" s="13" t="s">
        <v>154</v>
      </c>
      <c r="B43" s="13" t="s">
        <v>150</v>
      </c>
      <c r="C43" s="20">
        <v>0.3046012775717388</v>
      </c>
      <c r="D43" s="20">
        <v>0.2119933731024044</v>
      </c>
      <c r="E43" s="13" t="s">
        <v>151</v>
      </c>
    </row>
    <row r="44" spans="1:10">
      <c r="A44" s="13" t="s">
        <v>154</v>
      </c>
      <c r="B44" s="13" t="s">
        <v>152</v>
      </c>
      <c r="C44" s="20">
        <v>0.4605231668753713</v>
      </c>
      <c r="D44" s="20">
        <v>0.5700849123922851</v>
      </c>
      <c r="E44" s="14" t="s">
        <v>153</v>
      </c>
    </row>
    <row r="45" spans="1:10">
      <c r="A45" s="13" t="s">
        <v>154</v>
      </c>
      <c r="B45" s="13" t="s">
        <v>129</v>
      </c>
      <c r="C45" s="20">
        <v>0.565814377963605</v>
      </c>
      <c r="D45" s="20">
        <v>0.4723322756509513</v>
      </c>
      <c r="E45" s="14" t="s">
        <v>153</v>
      </c>
    </row>
    <row r="47" spans="1:10">
      <c r="A47" s="12" t="s">
        <v>155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 t="s">
        <v>156</v>
      </c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 t="s">
        <v>157</v>
      </c>
      <c r="B49" s="12"/>
      <c r="C49" s="12"/>
      <c r="D49" s="12"/>
      <c r="E49" s="12"/>
      <c r="F49" s="12"/>
      <c r="G49" s="12"/>
      <c r="H49" s="12"/>
      <c r="I49" s="12"/>
      <c r="J49" s="12"/>
    </row>
  </sheetData>
  <mergeCells count="3">
    <mergeCell ref="A47:J47"/>
    <mergeCell ref="A48:J48"/>
    <mergeCell ref="A49:J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48235"/>
  </sheetPr>
  <dimension ref="A1:N43"/>
  <sheetViews>
    <sheetView showGridLines="0" workbookViewId="0"/>
  </sheetViews>
  <sheetFormatPr defaultRowHeight="15"/>
  <cols>
    <col min="1" max="1" width="16.7109375" customWidth="1"/>
  </cols>
  <sheetData>
    <row r="1" spans="1:14">
      <c r="A1" s="1" t="s">
        <v>158</v>
      </c>
    </row>
    <row r="2" spans="1:14">
      <c r="A2" s="2" t="s">
        <v>159</v>
      </c>
    </row>
    <row r="4" spans="1:14">
      <c r="A4" s="3" t="s">
        <v>3</v>
      </c>
      <c r="B4" s="4" t="s">
        <v>160</v>
      </c>
      <c r="C4" s="4" t="s">
        <v>161</v>
      </c>
      <c r="D4" s="4" t="s">
        <v>162</v>
      </c>
      <c r="E4" s="4" t="s">
        <v>163</v>
      </c>
      <c r="F4" s="4" t="s">
        <v>164</v>
      </c>
      <c r="G4" s="4" t="s">
        <v>165</v>
      </c>
      <c r="H4" s="4" t="s">
        <v>166</v>
      </c>
      <c r="I4" s="4" t="s">
        <v>167</v>
      </c>
      <c r="J4" s="4" t="s">
        <v>168</v>
      </c>
      <c r="K4" s="4" t="s">
        <v>169</v>
      </c>
      <c r="L4" s="4" t="s">
        <v>170</v>
      </c>
      <c r="M4" s="4" t="s">
        <v>171</v>
      </c>
      <c r="N4" s="4" t="s">
        <v>172</v>
      </c>
    </row>
    <row r="5" spans="1:14">
      <c r="A5" s="6" t="s">
        <v>16</v>
      </c>
      <c r="B5" s="13" t="s">
        <v>173</v>
      </c>
      <c r="C5" s="13" t="s">
        <v>174</v>
      </c>
      <c r="D5" s="5">
        <v>2008</v>
      </c>
      <c r="E5" s="5">
        <v>16</v>
      </c>
      <c r="F5" s="16" t="s">
        <v>175</v>
      </c>
      <c r="G5" s="5">
        <v>13</v>
      </c>
      <c r="H5" s="5">
        <v>3</v>
      </c>
      <c r="I5" s="8">
        <v>24.8</v>
      </c>
      <c r="J5" s="11">
        <v>471577</v>
      </c>
      <c r="K5" s="15">
        <v>0.8952598225602028</v>
      </c>
      <c r="L5" s="14" t="s">
        <v>135</v>
      </c>
      <c r="M5" s="14" t="s">
        <v>176</v>
      </c>
      <c r="N5" s="11">
        <v>471577</v>
      </c>
    </row>
    <row r="6" spans="1:14">
      <c r="A6" s="6" t="s">
        <v>16</v>
      </c>
      <c r="B6" s="13" t="s">
        <v>177</v>
      </c>
      <c r="C6" s="13" t="s">
        <v>178</v>
      </c>
      <c r="D6" s="5">
        <v>2010</v>
      </c>
      <c r="E6" s="5">
        <v>14</v>
      </c>
      <c r="F6" s="16" t="s">
        <v>179</v>
      </c>
      <c r="G6" s="5">
        <v>13</v>
      </c>
      <c r="H6" s="5">
        <v>5</v>
      </c>
      <c r="I6" s="8">
        <v>26.3</v>
      </c>
      <c r="J6" s="11">
        <v>615404</v>
      </c>
      <c r="K6" s="15">
        <v>0.8025</v>
      </c>
      <c r="L6" s="14" t="s">
        <v>135</v>
      </c>
      <c r="M6" s="14" t="s">
        <v>176</v>
      </c>
      <c r="N6" s="11">
        <v>615404</v>
      </c>
    </row>
    <row r="7" spans="1:14">
      <c r="A7" s="6" t="s">
        <v>16</v>
      </c>
      <c r="B7" s="13" t="s">
        <v>180</v>
      </c>
      <c r="C7" s="13" t="s">
        <v>181</v>
      </c>
      <c r="D7" s="5">
        <v>2012</v>
      </c>
      <c r="E7" s="5">
        <v>12</v>
      </c>
      <c r="F7" s="16" t="s">
        <v>182</v>
      </c>
      <c r="G7" s="5">
        <v>10</v>
      </c>
      <c r="H7" s="5">
        <v>4</v>
      </c>
      <c r="I7" s="8">
        <v>19</v>
      </c>
      <c r="J7" s="11">
        <v>563814</v>
      </c>
      <c r="K7" s="15">
        <v>0.7028200253485424</v>
      </c>
      <c r="L7" s="14" t="s">
        <v>135</v>
      </c>
      <c r="M7" s="14" t="s">
        <v>176</v>
      </c>
      <c r="N7" s="11">
        <v>563814</v>
      </c>
    </row>
    <row r="8" spans="1:14">
      <c r="A8" s="6" t="s">
        <v>16</v>
      </c>
      <c r="B8" s="13" t="s">
        <v>183</v>
      </c>
      <c r="C8" s="13" t="s">
        <v>184</v>
      </c>
      <c r="D8" s="5">
        <v>2015</v>
      </c>
      <c r="E8" s="5">
        <v>9</v>
      </c>
      <c r="F8" s="16" t="s">
        <v>185</v>
      </c>
      <c r="G8" s="5">
        <v>8</v>
      </c>
      <c r="H8" s="5">
        <v>3</v>
      </c>
      <c r="I8" s="8">
        <v>24.7</v>
      </c>
      <c r="J8" s="11">
        <v>644108</v>
      </c>
      <c r="K8" s="15">
        <v>0.6965826996197719</v>
      </c>
      <c r="L8" s="14" t="s">
        <v>135</v>
      </c>
      <c r="M8" s="14" t="s">
        <v>176</v>
      </c>
      <c r="N8" s="11">
        <v>644108</v>
      </c>
    </row>
    <row r="9" spans="1:14">
      <c r="A9" s="6" t="s">
        <v>16</v>
      </c>
      <c r="B9" s="13" t="s">
        <v>186</v>
      </c>
      <c r="C9" s="13" t="s">
        <v>187</v>
      </c>
      <c r="D9" s="5">
        <v>2010</v>
      </c>
      <c r="E9" s="5">
        <v>14</v>
      </c>
      <c r="F9" s="16" t="s">
        <v>182</v>
      </c>
      <c r="G9" s="5">
        <v>10</v>
      </c>
      <c r="H9" s="5">
        <v>6</v>
      </c>
      <c r="I9" s="8">
        <v>20.3</v>
      </c>
      <c r="J9" s="11">
        <v>203074</v>
      </c>
      <c r="K9" s="15">
        <v>0.6835392902408112</v>
      </c>
      <c r="L9" s="14" t="s">
        <v>135</v>
      </c>
      <c r="M9" s="13" t="s">
        <v>61</v>
      </c>
      <c r="N9" s="13" t="s">
        <v>61</v>
      </c>
    </row>
    <row r="10" spans="1:14">
      <c r="A10" s="6" t="s">
        <v>16</v>
      </c>
      <c r="B10" s="13" t="s">
        <v>188</v>
      </c>
      <c r="C10" s="13" t="s">
        <v>189</v>
      </c>
      <c r="D10" s="5">
        <v>2012</v>
      </c>
      <c r="E10" s="5">
        <v>12</v>
      </c>
      <c r="F10" s="16" t="s">
        <v>190</v>
      </c>
      <c r="G10" s="5">
        <v>10</v>
      </c>
      <c r="H10" s="5">
        <v>5</v>
      </c>
      <c r="I10" s="8">
        <v>10.4</v>
      </c>
      <c r="J10" s="11">
        <v>370021</v>
      </c>
      <c r="K10" s="15">
        <v>0.6040874524714829</v>
      </c>
      <c r="L10" s="14" t="s">
        <v>135</v>
      </c>
      <c r="M10" s="14" t="s">
        <v>176</v>
      </c>
      <c r="N10" s="11">
        <v>370021</v>
      </c>
    </row>
    <row r="11" spans="1:14">
      <c r="A11" s="6" t="s">
        <v>16</v>
      </c>
      <c r="B11" s="13" t="s">
        <v>191</v>
      </c>
      <c r="C11" s="13" t="s">
        <v>192</v>
      </c>
      <c r="D11" s="5">
        <v>2016</v>
      </c>
      <c r="E11" s="5">
        <v>8</v>
      </c>
      <c r="F11" s="16" t="s">
        <v>193</v>
      </c>
      <c r="G11" s="5">
        <v>7</v>
      </c>
      <c r="H11" s="5">
        <v>7</v>
      </c>
      <c r="I11" s="8">
        <v>19.5</v>
      </c>
      <c r="J11" s="11">
        <v>270551</v>
      </c>
      <c r="K11" s="15">
        <v>0.4916223067173638</v>
      </c>
      <c r="L11" s="13" t="s">
        <v>134</v>
      </c>
      <c r="M11" s="13" t="s">
        <v>61</v>
      </c>
      <c r="N11" s="13" t="s">
        <v>61</v>
      </c>
    </row>
    <row r="12" spans="1:14">
      <c r="A12" s="6" t="s">
        <v>14</v>
      </c>
      <c r="B12" s="13" t="s">
        <v>194</v>
      </c>
      <c r="C12" s="13" t="s">
        <v>195</v>
      </c>
      <c r="D12" s="5">
        <v>2019</v>
      </c>
      <c r="E12" s="5">
        <v>5</v>
      </c>
      <c r="F12" s="16" t="s">
        <v>196</v>
      </c>
      <c r="G12" s="5">
        <v>5</v>
      </c>
      <c r="H12" s="5">
        <v>7</v>
      </c>
      <c r="I12" s="8">
        <v>7.7</v>
      </c>
      <c r="J12" s="11">
        <v>659911</v>
      </c>
      <c r="K12" s="15">
        <v>0.3189717997465146</v>
      </c>
      <c r="L12" s="19" t="s">
        <v>133</v>
      </c>
      <c r="M12" s="13" t="s">
        <v>61</v>
      </c>
      <c r="N12" s="13" t="s">
        <v>61</v>
      </c>
    </row>
    <row r="13" spans="1:14">
      <c r="A13" s="6" t="s">
        <v>14</v>
      </c>
      <c r="B13" s="13" t="s">
        <v>197</v>
      </c>
      <c r="C13" s="13" t="s">
        <v>187</v>
      </c>
      <c r="D13" s="5">
        <v>2018</v>
      </c>
      <c r="E13" s="5">
        <v>6</v>
      </c>
      <c r="F13" s="16" t="s">
        <v>198</v>
      </c>
      <c r="G13" s="5">
        <v>5</v>
      </c>
      <c r="H13" s="5">
        <v>8</v>
      </c>
      <c r="I13" s="8">
        <v>7.9</v>
      </c>
      <c r="J13" s="11">
        <v>288699</v>
      </c>
      <c r="K13" s="15">
        <v>0.3059093789607097</v>
      </c>
      <c r="L13" s="19" t="s">
        <v>133</v>
      </c>
      <c r="M13" s="13" t="s">
        <v>61</v>
      </c>
      <c r="N13" s="13" t="s">
        <v>61</v>
      </c>
    </row>
    <row r="14" spans="1:14">
      <c r="A14" s="6" t="s">
        <v>14</v>
      </c>
      <c r="B14" s="13" t="s">
        <v>199</v>
      </c>
      <c r="C14" s="13" t="s">
        <v>200</v>
      </c>
      <c r="D14" s="5">
        <v>2022</v>
      </c>
      <c r="E14" s="5">
        <v>2</v>
      </c>
      <c r="F14" s="16" t="s">
        <v>87</v>
      </c>
      <c r="G14" s="5">
        <v>0</v>
      </c>
      <c r="H14" s="5">
        <v>7</v>
      </c>
      <c r="I14" s="8">
        <v>5.1</v>
      </c>
      <c r="J14" s="11">
        <v>672972</v>
      </c>
      <c r="K14" s="15">
        <v>0.1762832699619772</v>
      </c>
      <c r="L14" s="19" t="s">
        <v>133</v>
      </c>
      <c r="M14" s="13" t="s">
        <v>61</v>
      </c>
      <c r="N14" s="13" t="s">
        <v>61</v>
      </c>
    </row>
    <row r="15" spans="1:14">
      <c r="A15" s="6" t="s">
        <v>14</v>
      </c>
      <c r="B15" s="13" t="s">
        <v>201</v>
      </c>
      <c r="C15" s="13" t="s">
        <v>189</v>
      </c>
      <c r="D15" s="5">
        <v>2023</v>
      </c>
      <c r="E15" s="5">
        <v>1</v>
      </c>
      <c r="F15" s="16" t="s">
        <v>202</v>
      </c>
      <c r="G15" s="5">
        <v>1</v>
      </c>
      <c r="H15" s="5">
        <v>10</v>
      </c>
      <c r="I15" s="8">
        <v>9.800000000000001</v>
      </c>
      <c r="J15" s="11">
        <v>681776</v>
      </c>
      <c r="K15" s="15">
        <v>0.1066080481622307</v>
      </c>
      <c r="L15" s="19" t="s">
        <v>133</v>
      </c>
      <c r="M15" s="13" t="s">
        <v>61</v>
      </c>
      <c r="N15" s="13" t="s">
        <v>61</v>
      </c>
    </row>
    <row r="16" spans="1:14">
      <c r="A16" s="6" t="s">
        <v>14</v>
      </c>
      <c r="B16" s="13" t="s">
        <v>203</v>
      </c>
      <c r="C16" s="13" t="s">
        <v>181</v>
      </c>
      <c r="D16" s="5">
        <v>2023</v>
      </c>
      <c r="E16" s="5">
        <v>1</v>
      </c>
      <c r="F16" s="16" t="s">
        <v>91</v>
      </c>
      <c r="G16" s="5">
        <v>0</v>
      </c>
      <c r="H16" s="5">
        <v>8</v>
      </c>
      <c r="I16" s="8">
        <v>2.4</v>
      </c>
      <c r="J16" s="11">
        <v>752536</v>
      </c>
      <c r="K16" s="15">
        <v>0.1036676172370089</v>
      </c>
      <c r="L16" s="19" t="s">
        <v>133</v>
      </c>
      <c r="M16" s="13" t="s">
        <v>61</v>
      </c>
      <c r="N16" s="13" t="s">
        <v>61</v>
      </c>
    </row>
    <row r="17" spans="1:14">
      <c r="A17" s="6" t="s">
        <v>14</v>
      </c>
      <c r="B17" s="13" t="s">
        <v>204</v>
      </c>
      <c r="C17" s="13" t="s">
        <v>205</v>
      </c>
      <c r="D17" s="5">
        <v>2023</v>
      </c>
      <c r="E17" s="5">
        <v>1</v>
      </c>
      <c r="F17" s="16" t="s">
        <v>206</v>
      </c>
      <c r="G17" s="5">
        <v>1</v>
      </c>
      <c r="H17" s="5">
        <v>9</v>
      </c>
      <c r="I17" s="8">
        <v>2.5</v>
      </c>
      <c r="J17" s="11">
        <v>731613</v>
      </c>
      <c r="K17" s="15">
        <v>0.08442807351077312</v>
      </c>
      <c r="L17" s="19" t="s">
        <v>133</v>
      </c>
      <c r="M17" s="13" t="s">
        <v>61</v>
      </c>
      <c r="N17" s="13" t="s">
        <v>61</v>
      </c>
    </row>
    <row r="18" spans="1:14">
      <c r="A18" s="6" t="s">
        <v>14</v>
      </c>
      <c r="B18" s="13" t="s">
        <v>207</v>
      </c>
      <c r="C18" s="13" t="s">
        <v>178</v>
      </c>
      <c r="D18" s="5">
        <v>2023</v>
      </c>
      <c r="E18" s="5">
        <v>1</v>
      </c>
      <c r="F18" s="16" t="s">
        <v>91</v>
      </c>
      <c r="G18" s="5">
        <v>0</v>
      </c>
      <c r="H18" s="5">
        <v>9</v>
      </c>
      <c r="I18" s="8">
        <v>4</v>
      </c>
      <c r="J18" s="11">
        <v>197031</v>
      </c>
      <c r="K18" s="15">
        <v>0.08250158428390367</v>
      </c>
      <c r="L18" s="19" t="s">
        <v>133</v>
      </c>
      <c r="M18" s="13" t="s">
        <v>61</v>
      </c>
      <c r="N18" s="13" t="s">
        <v>61</v>
      </c>
    </row>
    <row r="19" spans="1:14">
      <c r="A19" s="6" t="s">
        <v>17</v>
      </c>
      <c r="B19" s="13" t="s">
        <v>208</v>
      </c>
      <c r="C19" s="13" t="s">
        <v>178</v>
      </c>
      <c r="D19" s="5">
        <v>2021</v>
      </c>
      <c r="E19" s="5">
        <v>3</v>
      </c>
      <c r="F19" s="16" t="s">
        <v>209</v>
      </c>
      <c r="G19" s="5">
        <v>2</v>
      </c>
      <c r="H19" s="5">
        <v>4</v>
      </c>
      <c r="I19" s="8">
        <v>17.9</v>
      </c>
      <c r="J19" s="11">
        <v>510000</v>
      </c>
      <c r="K19" s="15">
        <v>0.4190383396704689</v>
      </c>
      <c r="L19" s="13" t="s">
        <v>134</v>
      </c>
      <c r="M19" s="13" t="s">
        <v>61</v>
      </c>
      <c r="N19" s="13" t="s">
        <v>61</v>
      </c>
    </row>
    <row r="20" spans="1:14">
      <c r="A20" s="6" t="s">
        <v>17</v>
      </c>
      <c r="B20" s="13" t="s">
        <v>210</v>
      </c>
      <c r="C20" s="13" t="s">
        <v>211</v>
      </c>
      <c r="D20" s="5">
        <v>2022</v>
      </c>
      <c r="E20" s="5">
        <v>2</v>
      </c>
      <c r="F20" s="16" t="s">
        <v>212</v>
      </c>
      <c r="G20" s="5">
        <v>1</v>
      </c>
      <c r="H20" s="5">
        <v>4</v>
      </c>
      <c r="I20" s="8">
        <v>20.9</v>
      </c>
      <c r="J20" s="11">
        <v>721691</v>
      </c>
      <c r="K20" s="15">
        <v>0.4097686945500633</v>
      </c>
      <c r="L20" s="13" t="s">
        <v>134</v>
      </c>
      <c r="M20" s="13" t="s">
        <v>61</v>
      </c>
      <c r="N20" s="13" t="s">
        <v>61</v>
      </c>
    </row>
    <row r="21" spans="1:14">
      <c r="A21" s="6" t="s">
        <v>17</v>
      </c>
      <c r="B21" s="13" t="s">
        <v>213</v>
      </c>
      <c r="C21" s="13" t="s">
        <v>184</v>
      </c>
      <c r="D21" s="5">
        <v>2022</v>
      </c>
      <c r="E21" s="5">
        <v>2</v>
      </c>
      <c r="F21" s="16" t="s">
        <v>202</v>
      </c>
      <c r="G21" s="5">
        <v>1</v>
      </c>
      <c r="H21" s="5">
        <v>5</v>
      </c>
      <c r="I21" s="8">
        <v>18.3</v>
      </c>
      <c r="J21" s="11">
        <v>244412</v>
      </c>
      <c r="K21" s="15">
        <v>0.3566634980988593</v>
      </c>
      <c r="L21" s="19" t="s">
        <v>133</v>
      </c>
      <c r="M21" s="13" t="s">
        <v>61</v>
      </c>
      <c r="N21" s="13" t="s">
        <v>61</v>
      </c>
    </row>
    <row r="22" spans="1:14">
      <c r="A22" s="6" t="s">
        <v>17</v>
      </c>
      <c r="B22" s="13" t="s">
        <v>214</v>
      </c>
      <c r="C22" s="13" t="s">
        <v>215</v>
      </c>
      <c r="D22" s="5">
        <v>2022</v>
      </c>
      <c r="E22" s="5">
        <v>2</v>
      </c>
      <c r="F22" s="16" t="s">
        <v>216</v>
      </c>
      <c r="G22" s="5">
        <v>1</v>
      </c>
      <c r="H22" s="5">
        <v>4</v>
      </c>
      <c r="I22" s="8">
        <v>13.4</v>
      </c>
      <c r="J22" s="11">
        <v>868480</v>
      </c>
      <c r="K22" s="15">
        <v>0.3527344740177439</v>
      </c>
      <c r="L22" s="19" t="s">
        <v>133</v>
      </c>
      <c r="M22" s="13" t="s">
        <v>61</v>
      </c>
      <c r="N22" s="13" t="s">
        <v>61</v>
      </c>
    </row>
    <row r="23" spans="1:14">
      <c r="A23" s="6" t="s">
        <v>17</v>
      </c>
      <c r="B23" s="13" t="s">
        <v>217</v>
      </c>
      <c r="C23" s="13" t="s">
        <v>205</v>
      </c>
      <c r="D23" s="5">
        <v>2023</v>
      </c>
      <c r="E23" s="5">
        <v>1</v>
      </c>
      <c r="F23" s="16" t="s">
        <v>218</v>
      </c>
      <c r="G23" s="5">
        <v>0</v>
      </c>
      <c r="H23" s="5">
        <v>5</v>
      </c>
      <c r="I23" s="8">
        <v>19.9</v>
      </c>
      <c r="J23" s="11">
        <v>619453</v>
      </c>
      <c r="K23" s="15">
        <v>0.3367474651457541</v>
      </c>
      <c r="L23" s="19" t="s">
        <v>133</v>
      </c>
      <c r="M23" s="13" t="s">
        <v>61</v>
      </c>
      <c r="N23" s="13" t="s">
        <v>61</v>
      </c>
    </row>
    <row r="24" spans="1:14">
      <c r="A24" s="6" t="s">
        <v>17</v>
      </c>
      <c r="B24" s="13" t="s">
        <v>219</v>
      </c>
      <c r="C24" s="13" t="s">
        <v>187</v>
      </c>
      <c r="D24" s="5">
        <v>2022</v>
      </c>
      <c r="E24" s="5">
        <v>2</v>
      </c>
      <c r="F24" s="16" t="s">
        <v>220</v>
      </c>
      <c r="G24" s="5">
        <v>1</v>
      </c>
      <c r="H24" s="5">
        <v>6</v>
      </c>
      <c r="I24" s="8">
        <v>15.4</v>
      </c>
      <c r="J24" s="11">
        <v>574314</v>
      </c>
      <c r="K24" s="15">
        <v>0.3012769328263625</v>
      </c>
      <c r="L24" s="19" t="s">
        <v>133</v>
      </c>
      <c r="M24" s="13" t="s">
        <v>61</v>
      </c>
      <c r="N24" s="13" t="s">
        <v>61</v>
      </c>
    </row>
    <row r="25" spans="1:14">
      <c r="A25" s="6" t="s">
        <v>17</v>
      </c>
      <c r="B25" s="13" t="s">
        <v>221</v>
      </c>
      <c r="C25" s="13" t="s">
        <v>195</v>
      </c>
      <c r="D25" s="5">
        <v>2023</v>
      </c>
      <c r="E25" s="5">
        <v>1</v>
      </c>
      <c r="F25" s="16" t="s">
        <v>222</v>
      </c>
      <c r="G25" s="5">
        <v>0</v>
      </c>
      <c r="H25" s="5">
        <v>9</v>
      </c>
      <c r="I25" s="8">
        <v>6.8</v>
      </c>
      <c r="J25" s="11">
        <v>651524</v>
      </c>
      <c r="K25" s="15">
        <v>0.1037943599493029</v>
      </c>
      <c r="L25" s="19" t="s">
        <v>133</v>
      </c>
      <c r="M25" s="13" t="s">
        <v>61</v>
      </c>
      <c r="N25" s="13" t="s">
        <v>61</v>
      </c>
    </row>
    <row r="26" spans="1:14">
      <c r="A26" s="6" t="s">
        <v>15</v>
      </c>
      <c r="B26" s="13" t="s">
        <v>223</v>
      </c>
      <c r="C26" s="13" t="s">
        <v>205</v>
      </c>
      <c r="D26" s="5">
        <v>2015</v>
      </c>
      <c r="E26" s="5">
        <v>9</v>
      </c>
      <c r="F26" s="16" t="s">
        <v>224</v>
      </c>
      <c r="G26" s="5">
        <v>6</v>
      </c>
      <c r="H26" s="5">
        <v>6</v>
      </c>
      <c r="I26" s="8">
        <v>11.9</v>
      </c>
      <c r="J26" s="11">
        <v>567368</v>
      </c>
      <c r="K26" s="15">
        <v>0.4725776299112801</v>
      </c>
      <c r="L26" s="13" t="s">
        <v>134</v>
      </c>
      <c r="M26" s="13" t="s">
        <v>61</v>
      </c>
      <c r="N26" s="13" t="s">
        <v>61</v>
      </c>
    </row>
    <row r="27" spans="1:14">
      <c r="A27" s="6" t="s">
        <v>15</v>
      </c>
      <c r="B27" s="13" t="s">
        <v>225</v>
      </c>
      <c r="C27" s="13" t="s">
        <v>181</v>
      </c>
      <c r="D27" s="5">
        <v>2016</v>
      </c>
      <c r="E27" s="5">
        <v>8</v>
      </c>
      <c r="F27" s="16" t="s">
        <v>224</v>
      </c>
      <c r="G27" s="5">
        <v>6</v>
      </c>
      <c r="H27" s="5">
        <v>8</v>
      </c>
      <c r="I27" s="8">
        <v>16.9</v>
      </c>
      <c r="J27" s="11">
        <v>273481</v>
      </c>
      <c r="K27" s="15">
        <v>0.4251837769328264</v>
      </c>
      <c r="L27" s="13" t="s">
        <v>134</v>
      </c>
      <c r="M27" s="13" t="s">
        <v>61</v>
      </c>
      <c r="N27" s="13" t="s">
        <v>61</v>
      </c>
    </row>
    <row r="28" spans="1:14">
      <c r="A28" s="6" t="s">
        <v>15</v>
      </c>
      <c r="B28" s="13" t="s">
        <v>226</v>
      </c>
      <c r="C28" s="13" t="s">
        <v>184</v>
      </c>
      <c r="D28" s="5">
        <v>2016</v>
      </c>
      <c r="E28" s="5">
        <v>8</v>
      </c>
      <c r="F28" s="16" t="s">
        <v>227</v>
      </c>
      <c r="G28" s="5">
        <v>5</v>
      </c>
      <c r="H28" s="5">
        <v>8</v>
      </c>
      <c r="I28" s="8">
        <v>17.3</v>
      </c>
      <c r="J28" s="11">
        <v>540084</v>
      </c>
      <c r="K28" s="15">
        <v>0.4148922686945501</v>
      </c>
      <c r="L28" s="13" t="s">
        <v>134</v>
      </c>
      <c r="M28" s="13" t="s">
        <v>61</v>
      </c>
      <c r="N28" s="13" t="s">
        <v>61</v>
      </c>
    </row>
    <row r="29" spans="1:14">
      <c r="A29" s="6" t="s">
        <v>15</v>
      </c>
      <c r="B29" s="13" t="s">
        <v>228</v>
      </c>
      <c r="C29" s="13" t="s">
        <v>195</v>
      </c>
      <c r="D29" s="5">
        <v>2017</v>
      </c>
      <c r="E29" s="5">
        <v>7</v>
      </c>
      <c r="F29" s="16" t="s">
        <v>198</v>
      </c>
      <c r="G29" s="5">
        <v>5</v>
      </c>
      <c r="H29" s="5">
        <v>8</v>
      </c>
      <c r="I29" s="8">
        <v>17.3</v>
      </c>
      <c r="J29" s="11">
        <v>183958</v>
      </c>
      <c r="K29" s="15">
        <v>0.39614226869455</v>
      </c>
      <c r="L29" s="19" t="s">
        <v>133</v>
      </c>
      <c r="M29" s="13" t="s">
        <v>61</v>
      </c>
      <c r="N29" s="13" t="s">
        <v>61</v>
      </c>
    </row>
    <row r="30" spans="1:14">
      <c r="A30" s="6" t="s">
        <v>15</v>
      </c>
      <c r="B30" s="13" t="s">
        <v>229</v>
      </c>
      <c r="C30" s="13" t="s">
        <v>200</v>
      </c>
      <c r="D30" s="5">
        <v>2020</v>
      </c>
      <c r="E30" s="5">
        <v>4</v>
      </c>
      <c r="F30" s="16" t="s">
        <v>230</v>
      </c>
      <c r="G30" s="5">
        <v>2</v>
      </c>
      <c r="H30" s="5">
        <v>6</v>
      </c>
      <c r="I30" s="8">
        <v>17.5</v>
      </c>
      <c r="J30" s="11">
        <v>177172</v>
      </c>
      <c r="K30" s="15">
        <v>0.3680798479087452</v>
      </c>
      <c r="L30" s="19" t="s">
        <v>133</v>
      </c>
      <c r="M30" s="13" t="s">
        <v>61</v>
      </c>
      <c r="N30" s="13" t="s">
        <v>61</v>
      </c>
    </row>
    <row r="31" spans="1:14">
      <c r="A31" s="6" t="s">
        <v>15</v>
      </c>
      <c r="B31" s="13" t="s">
        <v>231</v>
      </c>
      <c r="C31" s="13" t="s">
        <v>174</v>
      </c>
      <c r="D31" s="5">
        <v>2020</v>
      </c>
      <c r="E31" s="5">
        <v>4</v>
      </c>
      <c r="F31" s="16" t="s">
        <v>230</v>
      </c>
      <c r="G31" s="5">
        <v>2</v>
      </c>
      <c r="H31" s="5">
        <v>5</v>
      </c>
      <c r="I31" s="8">
        <v>6.6</v>
      </c>
      <c r="J31" s="11">
        <v>397459</v>
      </c>
      <c r="K31" s="15">
        <v>0.3185234474017744</v>
      </c>
      <c r="L31" s="19" t="s">
        <v>133</v>
      </c>
      <c r="M31" s="13" t="s">
        <v>61</v>
      </c>
      <c r="N31" s="13" t="s">
        <v>61</v>
      </c>
    </row>
    <row r="32" spans="1:14">
      <c r="A32" s="6" t="s">
        <v>15</v>
      </c>
      <c r="B32" s="13" t="s">
        <v>232</v>
      </c>
      <c r="C32" s="13" t="s">
        <v>215</v>
      </c>
      <c r="D32" s="5">
        <v>2017</v>
      </c>
      <c r="E32" s="5">
        <v>7</v>
      </c>
      <c r="F32" s="16" t="s">
        <v>233</v>
      </c>
      <c r="G32" s="5">
        <v>4</v>
      </c>
      <c r="H32" s="5">
        <v>8</v>
      </c>
      <c r="I32" s="8">
        <v>7.8</v>
      </c>
      <c r="J32" s="11">
        <v>449449</v>
      </c>
      <c r="K32" s="15">
        <v>0.3105655893536122</v>
      </c>
      <c r="L32" s="19" t="s">
        <v>133</v>
      </c>
      <c r="M32" s="13" t="s">
        <v>61</v>
      </c>
      <c r="N32" s="13" t="s">
        <v>61</v>
      </c>
    </row>
    <row r="34" spans="1:13">
      <c r="A34" s="10" t="s">
        <v>234</v>
      </c>
    </row>
    <row r="35" spans="1:13">
      <c r="A35" s="3" t="s">
        <v>3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4" t="s">
        <v>240</v>
      </c>
      <c r="H35" s="4" t="s">
        <v>241</v>
      </c>
      <c r="I35" s="4" t="s">
        <v>242</v>
      </c>
    </row>
    <row r="36" spans="1:13">
      <c r="A36" s="6" t="s">
        <v>16</v>
      </c>
      <c r="B36" s="5">
        <v>7</v>
      </c>
      <c r="C36" s="5">
        <v>5</v>
      </c>
      <c r="D36" s="11">
        <v>2664924</v>
      </c>
      <c r="E36" s="8">
        <v>4.714285714285714</v>
      </c>
      <c r="F36" s="8">
        <v>12.14285714285714</v>
      </c>
      <c r="G36" s="8">
        <v>145</v>
      </c>
      <c r="H36" s="7">
        <v>0.04441706272369888</v>
      </c>
      <c r="I36" s="8">
        <v>40.45949214026602</v>
      </c>
    </row>
    <row r="37" spans="1:13">
      <c r="A37" s="6" t="s">
        <v>14</v>
      </c>
      <c r="B37" s="5">
        <v>7</v>
      </c>
      <c r="C37" s="5">
        <v>0</v>
      </c>
      <c r="D37" s="11">
        <v>0</v>
      </c>
      <c r="E37" s="8">
        <v>8.285714285714286</v>
      </c>
      <c r="F37" s="8">
        <v>2.428571428571428</v>
      </c>
      <c r="G37" s="8">
        <v>39.4</v>
      </c>
      <c r="H37" s="7">
        <v>0.01965755392089521</v>
      </c>
      <c r="I37" s="8">
        <v>18.75240924242081</v>
      </c>
    </row>
    <row r="38" spans="1:13">
      <c r="A38" s="6" t="s">
        <v>17</v>
      </c>
      <c r="B38" s="5">
        <v>7</v>
      </c>
      <c r="C38" s="5">
        <v>0</v>
      </c>
      <c r="D38" s="11">
        <v>0</v>
      </c>
      <c r="E38" s="8">
        <v>5.285714285714286</v>
      </c>
      <c r="F38" s="8">
        <v>1.857142857142857</v>
      </c>
      <c r="G38" s="8">
        <v>112.6</v>
      </c>
      <c r="H38" s="7">
        <v>0.03734572848212855</v>
      </c>
      <c r="I38" s="8">
        <v>54.6853681165748</v>
      </c>
    </row>
    <row r="39" spans="1:13">
      <c r="A39" s="6" t="s">
        <v>15</v>
      </c>
      <c r="B39" s="5">
        <v>7</v>
      </c>
      <c r="C39" s="5">
        <v>0</v>
      </c>
      <c r="D39" s="11">
        <v>0</v>
      </c>
      <c r="E39" s="8">
        <v>7</v>
      </c>
      <c r="F39" s="8">
        <v>6.714285714285714</v>
      </c>
      <c r="G39" s="8">
        <v>95.3</v>
      </c>
      <c r="H39" s="7">
        <v>0.04003118596355658</v>
      </c>
      <c r="I39" s="8">
        <v>42.148129294986</v>
      </c>
    </row>
    <row r="41" spans="1:13">
      <c r="A41" s="12" t="s">
        <v>243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A42" s="12" t="s">
        <v>244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A43" s="12" t="s">
        <v>245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</sheetData>
  <mergeCells count="3">
    <mergeCell ref="A41:M41"/>
    <mergeCell ref="A42:M42"/>
    <mergeCell ref="A43:M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 Scorecard</vt:lpstr>
      <vt:lpstr>Trend Diagnostics</vt:lpstr>
      <vt:lpstr>Industry Benchmark</vt:lpstr>
      <vt:lpstr>Complaint-Production Crossref</vt:lpstr>
      <vt:lpstr>Equipment Risk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2026-10-19T14:41:12Z</dcterms:created>
  <dcterms:modified xsi:type="dcterms:W3CDTF">2026-10-19T14:41:12Z</dcterms:modified>
</cp:coreProperties>
</file>